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ce Sheet" sheetId="1" r:id="rId4"/>
    <sheet state="visible" name="Income Statement" sheetId="2" r:id="rId5"/>
    <sheet state="visible" name="Tata Power FCFF and FCFE" sheetId="3" r:id="rId6"/>
    <sheet state="visible" name="Cost of Equity" sheetId="4" r:id="rId7"/>
    <sheet state="visible" name="WACC Calculation" sheetId="5" r:id="rId8"/>
    <sheet state="visible" name="Growth and DCF Valuation" sheetId="6" r:id="rId9"/>
    <sheet state="visible" name="Relative Valuation" sheetId="7" r:id="rId10"/>
  </sheets>
  <definedNames/>
  <calcPr/>
</workbook>
</file>

<file path=xl/sharedStrings.xml><?xml version="1.0" encoding="utf-8"?>
<sst xmlns="http://schemas.openxmlformats.org/spreadsheetml/2006/main" count="497" uniqueCount="330">
  <si>
    <t xml:space="preserve">The Tata Power Company </t>
  </si>
  <si>
    <t>Balance Sheet</t>
  </si>
  <si>
    <t>Common Sizing Balance Sheet</t>
  </si>
  <si>
    <t>Horizontal Analysis Balance Sheet</t>
  </si>
  <si>
    <t>Consolidated Balance Sheet</t>
  </si>
  <si>
    <t>----------in Rs Cr.-----------</t>
  </si>
  <si>
    <t>In Rs. Cr.</t>
  </si>
  <si>
    <t>12 mths</t>
  </si>
  <si>
    <t>EQUITY AND LIABILITIES:</t>
  </si>
  <si>
    <t>EQUITIES AND LIABILITIES:</t>
  </si>
  <si>
    <t>EQUITIES AND LIABILITIES</t>
  </si>
  <si>
    <t>Equity share capital</t>
  </si>
  <si>
    <t>SHAREHOLDER'S FUNDS</t>
  </si>
  <si>
    <t>Other equity (reserves and surplus)</t>
  </si>
  <si>
    <t>Equity Share Capital</t>
  </si>
  <si>
    <t>Total Shareholders funds</t>
  </si>
  <si>
    <t>Total Share Capital</t>
  </si>
  <si>
    <t>Reserves and Surplus</t>
  </si>
  <si>
    <t>NON-CURRENT LIABILITIES:</t>
  </si>
  <si>
    <t>Total Reserves and Surplus</t>
  </si>
  <si>
    <t>Long term borrowings</t>
  </si>
  <si>
    <t>Total Shareholders Funds</t>
  </si>
  <si>
    <t>Deferred Tax liabilities</t>
  </si>
  <si>
    <t>Hybrid/Debt/Other Securities</t>
  </si>
  <si>
    <t>Other long term liabilities</t>
  </si>
  <si>
    <t>Minority Interest</t>
  </si>
  <si>
    <t>Long term provisions</t>
  </si>
  <si>
    <t>NON-CURRENT LIABILITIES</t>
  </si>
  <si>
    <t>Total Non-Current Liabilities</t>
  </si>
  <si>
    <t>Long Term Borrowings</t>
  </si>
  <si>
    <t>Deferred Tax Liabilities [Net]</t>
  </si>
  <si>
    <t>CURRENT LIABILITIES:</t>
  </si>
  <si>
    <t>Other Long Term Liabilities</t>
  </si>
  <si>
    <t>Short-term borrowings</t>
  </si>
  <si>
    <t>Long Term Provisions</t>
  </si>
  <si>
    <t>Trade Payables</t>
  </si>
  <si>
    <t>Other current liabilities</t>
  </si>
  <si>
    <t>CURRENT LIABILITIES</t>
  </si>
  <si>
    <t>Short term provisions</t>
  </si>
  <si>
    <t>Short Term Borrowings</t>
  </si>
  <si>
    <t>Total Current Liabilities</t>
  </si>
  <si>
    <t>Other Current Liabilities</t>
  </si>
  <si>
    <t>Total Liabilities and shareholders equity</t>
  </si>
  <si>
    <t>Short Term Provisions</t>
  </si>
  <si>
    <t>ASSETS:</t>
  </si>
  <si>
    <t>Total Capital And Liabilities</t>
  </si>
  <si>
    <t>1,56,711.29</t>
  </si>
  <si>
    <t>1,39,553.49</t>
  </si>
  <si>
    <t>1,28,349.04</t>
  </si>
  <si>
    <t>1,12,884.59</t>
  </si>
  <si>
    <t>NON-CURRENT ASSETS</t>
  </si>
  <si>
    <t>ASSETS</t>
  </si>
  <si>
    <t>Net PPE (tangible assets)</t>
  </si>
  <si>
    <t>Intangible assets</t>
  </si>
  <si>
    <t>Net PPE(Tangible Assets)</t>
  </si>
  <si>
    <t>Capital Work in Progress</t>
  </si>
  <si>
    <t>Intangible Assets</t>
  </si>
  <si>
    <t>Capital Work-In-Progress</t>
  </si>
  <si>
    <t>Total fixed assets</t>
  </si>
  <si>
    <t>Fixed Assets</t>
  </si>
  <si>
    <t>Non-Current investments</t>
  </si>
  <si>
    <t>Non-Current Investments</t>
  </si>
  <si>
    <t>Deferred Tax assets</t>
  </si>
  <si>
    <t>Deferred Tax Assets [Net]</t>
  </si>
  <si>
    <t>Long Term Loans And Advances</t>
  </si>
  <si>
    <t>Other non-current Assets</t>
  </si>
  <si>
    <t>Other Non-Current Assets</t>
  </si>
  <si>
    <t>Total Non-Current Assets</t>
  </si>
  <si>
    <t>1,19,645.82</t>
  </si>
  <si>
    <t>1,02,789.45</t>
  </si>
  <si>
    <t>CURRENT ASSETS</t>
  </si>
  <si>
    <t>Current Investments</t>
  </si>
  <si>
    <t>Inventories</t>
  </si>
  <si>
    <t>Trade Receivables</t>
  </si>
  <si>
    <t>Cash And Cash Equivalents</t>
  </si>
  <si>
    <t>Cash and Cash Equivalents</t>
  </si>
  <si>
    <t>Short Term Loans And Advances</t>
  </si>
  <si>
    <t>OtherCurrentAssets</t>
  </si>
  <si>
    <t>Other Current Assets</t>
  </si>
  <si>
    <t>Total Current Assets</t>
  </si>
  <si>
    <t>Total Assets</t>
  </si>
  <si>
    <t>Working Capital</t>
  </si>
  <si>
    <t>Change in Working Capital</t>
  </si>
  <si>
    <t>Certain Important Ratios</t>
  </si>
  <si>
    <t>Averages</t>
  </si>
  <si>
    <t>Trade receivable turnover ratio</t>
  </si>
  <si>
    <t>Inventory turnover ratio</t>
  </si>
  <si>
    <t>Accounts Payable turnover ratio</t>
  </si>
  <si>
    <t>Cash ratio</t>
  </si>
  <si>
    <t>Working Capital Turnover ratio</t>
  </si>
  <si>
    <t>Net PPE turnover ratio</t>
  </si>
  <si>
    <t>Projections</t>
  </si>
  <si>
    <t>In Rs. Of Cr</t>
  </si>
  <si>
    <t>Net PPE</t>
  </si>
  <si>
    <t>The Tata Power Company</t>
  </si>
  <si>
    <t>Income Statement</t>
  </si>
  <si>
    <t>Income Statement Common Sizing on Total Revenue</t>
  </si>
  <si>
    <t>Income Statement Horizontal Analysis</t>
  </si>
  <si>
    <t>Consolidated Profit &amp; Loss account</t>
  </si>
  <si>
    <t>---------------in Rs. Cr.--------------</t>
  </si>
  <si>
    <t>Total Revenue</t>
  </si>
  <si>
    <t>Cost of Goods Sold</t>
  </si>
  <si>
    <t>INCOME</t>
  </si>
  <si>
    <t>Revenue From Operations [Gross]</t>
  </si>
  <si>
    <t>Gross Profit</t>
  </si>
  <si>
    <t>Revenue From Operations [Net]</t>
  </si>
  <si>
    <t>Other Operating Revenues</t>
  </si>
  <si>
    <t>Operating Expenses:</t>
  </si>
  <si>
    <t>Total Operating Revenues</t>
  </si>
  <si>
    <t>Other Income</t>
  </si>
  <si>
    <t>EBITDA</t>
  </si>
  <si>
    <t>EXPENSES</t>
  </si>
  <si>
    <t>Depreciation and Amortization</t>
  </si>
  <si>
    <t>Cost Of Materials Consumed</t>
  </si>
  <si>
    <t>Purchase Of Stock-In Trade</t>
  </si>
  <si>
    <t>Earnings before Interest and Tax (EBIT)</t>
  </si>
  <si>
    <t>Cost of Power Purchased</t>
  </si>
  <si>
    <t>Cost Of Fuel</t>
  </si>
  <si>
    <t>Interest expenses (finance costs)</t>
  </si>
  <si>
    <t>Operating And Direct Expenses</t>
  </si>
  <si>
    <t>Changes In Inventories Of FG,WIP And Stock-In Trade</t>
  </si>
  <si>
    <t>Total Expenses</t>
  </si>
  <si>
    <t>Employee Benefit Expenses</t>
  </si>
  <si>
    <t>Earnings before Taxes and exceptional cases</t>
  </si>
  <si>
    <t>Finance Costs</t>
  </si>
  <si>
    <t>Depreciation And Amortisation Expenses</t>
  </si>
  <si>
    <t>Tax Expenses:</t>
  </si>
  <si>
    <t>Other Expenses</t>
  </si>
  <si>
    <t>Current Tax</t>
  </si>
  <si>
    <t>Deferred Tax</t>
  </si>
  <si>
    <t>Deferred Tax Credit</t>
  </si>
  <si>
    <t>Profit/Loss Before Exceptional, ExtraOrdinary Items And Tax</t>
  </si>
  <si>
    <t>Tax For Earlier Years</t>
  </si>
  <si>
    <t>Total For Earlier Years</t>
  </si>
  <si>
    <t>Exceptional Items</t>
  </si>
  <si>
    <t>Total Tax Expenses</t>
  </si>
  <si>
    <t>Profit/Loss Before Tax</t>
  </si>
  <si>
    <t>Profit for the year</t>
  </si>
  <si>
    <t>Tax Expenses-Continued Operations</t>
  </si>
  <si>
    <t>Profit/Loss After Tax And Before ExtraOrdinary Items</t>
  </si>
  <si>
    <t>Profit/Loss From Continuing Operations</t>
  </si>
  <si>
    <t>Profit Loss From Discontinuing Operations</t>
  </si>
  <si>
    <t>Total Tax Expenses Discontinuing Operations</t>
  </si>
  <si>
    <t>Net Profit Loss From Discontinuing Operations</t>
  </si>
  <si>
    <t>Profit/Loss For The Period</t>
  </si>
  <si>
    <t>Share Of Profit/Loss Of Associates</t>
  </si>
  <si>
    <t>Consolidated Profit/Loss After MI And Associates</t>
  </si>
  <si>
    <t>OTHER ADDITIONAL INFORMATION</t>
  </si>
  <si>
    <t>EARNINGS PER SHARE</t>
  </si>
  <si>
    <t>Basic EPS (Rs.)</t>
  </si>
  <si>
    <t>Diluted EPS (Rs.)</t>
  </si>
  <si>
    <t>DIVIDEND AND DIVIDEND PERCENTAGE</t>
  </si>
  <si>
    <t>Equity Share Dividend</t>
  </si>
  <si>
    <t>Sales Growth Rate</t>
  </si>
  <si>
    <t>Gross Profit Margin</t>
  </si>
  <si>
    <t>Operating Expenses/Sales Revenue</t>
  </si>
  <si>
    <t>DA/Net PPE</t>
  </si>
  <si>
    <t>Interest/Long Term Borrowings</t>
  </si>
  <si>
    <t>Income tax</t>
  </si>
  <si>
    <t>Income Statement projections</t>
  </si>
  <si>
    <t>In Rs. Cr</t>
  </si>
  <si>
    <t>All Operating Expenses</t>
  </si>
  <si>
    <t>Interest Expense</t>
  </si>
  <si>
    <t>Earnings before Tax</t>
  </si>
  <si>
    <t>Tax expense</t>
  </si>
  <si>
    <t>Net income</t>
  </si>
  <si>
    <t>Free Cash Flow to Firm</t>
  </si>
  <si>
    <t>Particulars</t>
  </si>
  <si>
    <t>Net Income</t>
  </si>
  <si>
    <t>Depreciation</t>
  </si>
  <si>
    <t>Interest Expense(1-T)</t>
  </si>
  <si>
    <t>CAPEX</t>
  </si>
  <si>
    <t>FCFF</t>
  </si>
  <si>
    <t>Free Cash Flow to Equity</t>
  </si>
  <si>
    <t>NP - P = Change in LT Borrowings</t>
  </si>
  <si>
    <t>FCFE</t>
  </si>
  <si>
    <t>The Tata Power Company Regression</t>
  </si>
  <si>
    <t>Date</t>
  </si>
  <si>
    <t>Close</t>
  </si>
  <si>
    <t>Open</t>
  </si>
  <si>
    <t>Returns (%)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</si>
  <si>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</si>
  <si>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</si>
  <si>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</si>
  <si>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</si>
  <si>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</si>
  <si>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</si>
  <si>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</si>
  <si>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</si>
  <si>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</si>
  <si>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</si>
  <si>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</si>
  <si>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</si>
  <si>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</si>
  <si>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</si>
  <si>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</si>
  <si>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</si>
  <si>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</si>
  <si>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</si>
  <si>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</si>
  <si>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</si>
  <si>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</si>
  <si>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</si>
  <si>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</si>
  <si>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</si>
  <si>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Beta Equity</t>
  </si>
  <si>
    <t xml:space="preserve">Average Market Returns	</t>
  </si>
  <si>
    <t xml:space="preserve">Annualized Market Return(Rm)	</t>
  </si>
  <si>
    <t xml:space="preserve">Risk Free Rate(Rf)	</t>
  </si>
  <si>
    <t>https://in.investing.com/rates-bonds/india-10-year-bond-yield-historical-data</t>
  </si>
  <si>
    <t xml:space="preserve">Cost of Equity Capital	
</t>
  </si>
  <si>
    <t>Re = Rf + β(Rm-Rf)</t>
  </si>
  <si>
    <t>01-Sept-22</t>
  </si>
  <si>
    <t>02-Sept-22</t>
  </si>
  <si>
    <t>05-Sept-22</t>
  </si>
  <si>
    <t>06-Sept-22</t>
  </si>
  <si>
    <t>07-Sept-22</t>
  </si>
  <si>
    <t>08-Sept-22</t>
  </si>
  <si>
    <t>09-Sept-22</t>
  </si>
  <si>
    <t>12-Sept-22</t>
  </si>
  <si>
    <t>13-Sept-22</t>
  </si>
  <si>
    <t>14-Sept-22</t>
  </si>
  <si>
    <t>15-Sept-22</t>
  </si>
  <si>
    <t>16-Sept-22</t>
  </si>
  <si>
    <t>19-Sept-22</t>
  </si>
  <si>
    <t>20-Sept-22</t>
  </si>
  <si>
    <t>21-Sept-22</t>
  </si>
  <si>
    <t>22-Sept-22</t>
  </si>
  <si>
    <t>23-Sept-22</t>
  </si>
  <si>
    <t>26-Sept-22</t>
  </si>
  <si>
    <t>27-Sept-22</t>
  </si>
  <si>
    <t>28-Sept-22</t>
  </si>
  <si>
    <t>29-Sept-22</t>
  </si>
  <si>
    <t>30-Sept-22</t>
  </si>
  <si>
    <t>01-Sept-23</t>
  </si>
  <si>
    <t>04-Sept-23</t>
  </si>
  <si>
    <t>05-Sept-23</t>
  </si>
  <si>
    <t>06-Sept-23</t>
  </si>
  <si>
    <t>07-Sept-23</t>
  </si>
  <si>
    <t>08-Sept-23</t>
  </si>
  <si>
    <t>11-Sept-23</t>
  </si>
  <si>
    <t>12-Sept-23</t>
  </si>
  <si>
    <t>13-Sept-23</t>
  </si>
  <si>
    <t>14-Sept-23</t>
  </si>
  <si>
    <t>15-Sept-23</t>
  </si>
  <si>
    <t>18-Sept-23</t>
  </si>
  <si>
    <t>20-Sept-23</t>
  </si>
  <si>
    <t>21-Sept-23</t>
  </si>
  <si>
    <t>22-Sept-23</t>
  </si>
  <si>
    <t>25-Sept-23</t>
  </si>
  <si>
    <t>26-Sept-23</t>
  </si>
  <si>
    <t>27-Sept-23</t>
  </si>
  <si>
    <t>28-Sept-23</t>
  </si>
  <si>
    <t>29-Sept-23</t>
  </si>
  <si>
    <t>02-Sept-24</t>
  </si>
  <si>
    <t>03-Sept-24</t>
  </si>
  <si>
    <t>04-Sept-24</t>
  </si>
  <si>
    <t>05-Sept-24</t>
  </si>
  <si>
    <t>06-Sept-24</t>
  </si>
  <si>
    <t>09-Sept-24</t>
  </si>
  <si>
    <t>10-Sept-24</t>
  </si>
  <si>
    <t>11-Sept-24</t>
  </si>
  <si>
    <t>12-Sept-24</t>
  </si>
  <si>
    <t>13-Sept-24</t>
  </si>
  <si>
    <t>16-Sept-24</t>
  </si>
  <si>
    <t>17-Sept-24</t>
  </si>
  <si>
    <t>18-Sept-24</t>
  </si>
  <si>
    <t>19-Sept-24</t>
  </si>
  <si>
    <t>20-Sept-24</t>
  </si>
  <si>
    <t>23-Sept-24</t>
  </si>
  <si>
    <t>24-Sept-24</t>
  </si>
  <si>
    <t>25-Sept-24</t>
  </si>
  <si>
    <t>26-Sept-24</t>
  </si>
  <si>
    <t>27-Sept-24</t>
  </si>
  <si>
    <t>30-Sept-24</t>
  </si>
  <si>
    <t>Cost of Debt</t>
  </si>
  <si>
    <t>Interest Coverage Ratio(24-25)</t>
  </si>
  <si>
    <t>Default Spread</t>
  </si>
  <si>
    <t>Risk Free Rate</t>
  </si>
  <si>
    <t>Market Value of Equity</t>
  </si>
  <si>
    <t>Share Price Mar 2025</t>
  </si>
  <si>
    <t>Share Outstanding</t>
  </si>
  <si>
    <t>crores</t>
  </si>
  <si>
    <t>Market Value of Debt</t>
  </si>
  <si>
    <t>Book Value of Debt</t>
  </si>
  <si>
    <t>Maturity</t>
  </si>
  <si>
    <t>WACC</t>
  </si>
  <si>
    <t>Enterprise Value</t>
  </si>
  <si>
    <t>D/V</t>
  </si>
  <si>
    <t>E/V</t>
  </si>
  <si>
    <t>Tax Rate</t>
  </si>
  <si>
    <t>Cost of Capital</t>
  </si>
  <si>
    <t>Ratios Required</t>
  </si>
  <si>
    <t>Total shareholders equity</t>
  </si>
  <si>
    <t>Dividend per share</t>
  </si>
  <si>
    <t>Dividends Paid</t>
  </si>
  <si>
    <t>in crores</t>
  </si>
  <si>
    <t>Payout Ratio</t>
  </si>
  <si>
    <t>Retention ratio</t>
  </si>
  <si>
    <t>ROA</t>
  </si>
  <si>
    <t>ROE</t>
  </si>
  <si>
    <t>Terminal Growth rate using reinvestment rate and ROA capital</t>
  </si>
  <si>
    <t>Reinvestment rate</t>
  </si>
  <si>
    <t>g</t>
  </si>
  <si>
    <t>FCFF in 2030</t>
  </si>
  <si>
    <t>Terminal value at end of 2030</t>
  </si>
  <si>
    <t>Terminal value at end of 2025</t>
  </si>
  <si>
    <t>Terminal Growth rate using reinvestment rate and ROE capital</t>
  </si>
  <si>
    <t>FCFE in 2030</t>
  </si>
  <si>
    <t>PV of Terminal Value</t>
  </si>
  <si>
    <t>NPV</t>
  </si>
  <si>
    <t>Relative Valuation of  TATA POWER LTD.</t>
  </si>
  <si>
    <t>Target Company</t>
  </si>
  <si>
    <t>Comparable Companies</t>
  </si>
  <si>
    <t>Ratios</t>
  </si>
  <si>
    <t>TATA POWER</t>
  </si>
  <si>
    <t>ADANI POWER</t>
  </si>
  <si>
    <t>CESC</t>
  </si>
  <si>
    <t>TORRENT POWER</t>
  </si>
  <si>
    <t>P/E Ratio</t>
  </si>
  <si>
    <t>EV/EBITDA</t>
  </si>
  <si>
    <t>EPS</t>
  </si>
  <si>
    <t>Industry EV/EBITDA Ratio</t>
  </si>
  <si>
    <t>Industry P/E Ratio</t>
  </si>
  <si>
    <t>Through relative valuation we get that that the earnings per share for  TATA POWER  is lower than the industry average hence currently it is overpriced.</t>
  </si>
  <si>
    <t>TATA POWER EBITDA</t>
  </si>
  <si>
    <t>CRORES</t>
  </si>
  <si>
    <t>TATA POWER EPS</t>
  </si>
  <si>
    <t>TATA POWER EV</t>
  </si>
  <si>
    <t>TATA POWER MVE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</si>
</sst>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 d"/>
    <numFmt numFmtId="165" formatCode="mmm-d"/>
    <numFmt numFmtId="166" formatCode="dd-mmm-yy"/>
    <numFmt numFmtId="167" formatCode="d-mmm-yy"/>
    <numFmt numFmtId="168" formatCode="dd-mmmm-yy"/>
    <numFmt numFmtId="169" formatCode="d-mmmm-yy"/>
    <numFmt numFmtId="170" formatCode="[$₹]#,##0.00"/>
  </numFmts>
  <fonts count="45">
    <font>
      <sz val="10.0"/>
      <color rgb="FF000000"/>
      <name val="Arial"/>
      <scheme val="minor"/>
    </font>
    <font>
      <sz val="22.0"/>
      <color theme="1"/>
      <name val="&quot;Arial Black&quot;"/>
    </font>
    <font>
      <b/>
      <sz val="14.0"/>
      <color rgb="FF000000"/>
      <name val="Calibri"/>
    </font>
    <font>
      <b/>
      <sz val="14.0"/>
      <color theme="1"/>
      <name val="Calibri"/>
    </font>
    <font>
      <sz val="9.0"/>
      <color theme="1"/>
      <name val="&quot;Arial Black&quot;"/>
    </font>
    <font/>
    <font>
      <color rgb="FF000000"/>
      <name val="&quot;Times New Roman&quot;"/>
    </font>
    <font>
      <b/>
      <sz val="9.0"/>
      <color theme="1"/>
      <name val="Arial"/>
    </font>
    <font>
      <sz val="11.0"/>
      <color rgb="FF000000"/>
      <name val="Calibri"/>
    </font>
    <font>
      <b/>
      <sz val="14.0"/>
      <color rgb="FF000000"/>
      <name val="Arial"/>
    </font>
    <font>
      <color theme="1"/>
      <name val="Arial"/>
    </font>
    <font>
      <b/>
      <sz val="14.0"/>
      <color theme="1"/>
      <name val="Arial"/>
    </font>
    <font>
      <sz val="9.0"/>
      <color theme="1"/>
      <name val="&quot;Arial MT&quot;"/>
    </font>
    <font>
      <b/>
      <sz val="11.0"/>
      <color rgb="FF000000"/>
      <name val="Calibri"/>
    </font>
    <font>
      <b/>
      <sz val="12.0"/>
      <color rgb="FF000000"/>
      <name val="Arial"/>
    </font>
    <font>
      <b/>
      <sz val="8.0"/>
      <color rgb="FF000000"/>
      <name val="Arial"/>
    </font>
    <font>
      <b/>
      <sz val="8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sz val="9.0"/>
      <color rgb="FF000000"/>
      <name val="&quot;Arial MT&quot;"/>
    </font>
    <font>
      <b/>
      <sz val="9.0"/>
      <color rgb="FF000000"/>
      <name val="Arial"/>
    </font>
    <font>
      <color theme="1"/>
      <name val="Arial"/>
      <scheme val="minor"/>
    </font>
    <font>
      <sz val="9.0"/>
      <color theme="1"/>
      <name val="Arial"/>
    </font>
    <font>
      <b/>
      <sz val="16.0"/>
      <color rgb="FF000000"/>
      <name val="Calibri"/>
    </font>
    <font>
      <b/>
      <sz val="18.0"/>
      <color rgb="FF000000"/>
      <name val="Calibri"/>
    </font>
    <font>
      <sz val="11.0"/>
      <color rgb="FFFFFFFF"/>
      <name val="Calibri"/>
    </font>
    <font>
      <b/>
      <sz val="22.0"/>
      <color theme="1"/>
      <name val="Arial"/>
      <scheme val="minor"/>
    </font>
    <font>
      <sz val="20.0"/>
      <color rgb="FF000000"/>
      <name val="Arial"/>
    </font>
    <font>
      <sz val="9.0"/>
      <color theme="1"/>
      <name val="Arial"/>
      <scheme val="minor"/>
    </font>
    <font>
      <sz val="11.0"/>
      <color rgb="FF000000"/>
      <name val="Arial"/>
      <scheme val="minor"/>
    </font>
    <font>
      <b/>
      <sz val="9.0"/>
      <color theme="1"/>
      <name val="Arial"/>
      <scheme val="minor"/>
    </font>
    <font>
      <b/>
      <sz val="12.0"/>
      <color rgb="FF000000"/>
      <name val="Calibri"/>
    </font>
    <font>
      <sz val="8.0"/>
      <color rgb="FF000000"/>
      <name val="Arial"/>
    </font>
    <font>
      <b/>
      <sz val="9.0"/>
      <color rgb="FF000000"/>
      <name val="Arial"/>
      <scheme val="minor"/>
    </font>
    <font>
      <sz val="9.0"/>
      <color rgb="FF000000"/>
      <name val="Arial"/>
      <scheme val="minor"/>
    </font>
    <font>
      <b/>
      <sz val="11.0"/>
      <color rgb="FF006100"/>
      <name val="Calibri"/>
    </font>
    <font>
      <b/>
      <sz val="13.0"/>
      <color rgb="FF000000"/>
      <name val="Arial"/>
    </font>
    <font>
      <b/>
      <sz val="13.0"/>
      <color rgb="FF000000"/>
      <name val="&quot;Aptos Narrow&quot;"/>
    </font>
    <font>
      <sz val="11.0"/>
      <color rgb="FF000000"/>
      <name val="&quot;Aptos Narrow&quot;"/>
    </font>
    <font>
      <i/>
      <sz val="11.0"/>
      <color rgb="FF000000"/>
      <name val="Calibri"/>
    </font>
    <font>
      <sz val="11.0"/>
      <color rgb="FF000000"/>
      <name val="Arial"/>
    </font>
    <font>
      <u/>
      <color rgb="FF0000FF"/>
      <name val="Nunito"/>
    </font>
    <font>
      <b/>
      <color rgb="FF000000"/>
      <name val="Nunito"/>
    </font>
    <font>
      <color rgb="FF000000"/>
      <name val="Nunito"/>
    </font>
    <font>
      <b/>
      <sz val="14.0"/>
      <color rgb="FF000000"/>
      <name val="Nunito"/>
    </font>
  </fonts>
  <fills count="1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E69138"/>
        <bgColor rgb="FFE69138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2060"/>
        <bgColor rgb="FF002060"/>
      </patternFill>
    </fill>
    <fill>
      <patternFill patternType="solid">
        <fgColor rgb="FF92D050"/>
        <bgColor rgb="FF92D050"/>
      </patternFill>
    </fill>
    <fill>
      <patternFill patternType="solid">
        <fgColor rgb="FFF4B084"/>
        <bgColor rgb="FFF4B084"/>
      </patternFill>
    </fill>
    <fill>
      <patternFill patternType="solid">
        <fgColor rgb="FFC6EFCE"/>
        <bgColor rgb="FFC6EFCE"/>
      </patternFill>
    </fill>
    <fill>
      <patternFill patternType="solid">
        <fgColor rgb="FF9BC2E6"/>
        <bgColor rgb="FF9BC2E6"/>
      </patternFill>
    </fill>
    <fill>
      <patternFill patternType="solid">
        <fgColor rgb="FFED7D31"/>
        <bgColor rgb="FFED7D31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bottom style="thin">
        <color rgb="FF000000"/>
      </bottom>
    </border>
    <border>
      <top style="thin">
        <color rgb="FFCCCCCC"/>
      </top>
    </border>
    <border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2" fontId="2" numFmtId="0" xfId="0" applyAlignment="1" applyFill="1" applyFont="1">
      <alignment horizontal="center" readingOrder="0" shrinkToFit="0" vertical="bottom" wrapText="0"/>
    </xf>
    <xf borderId="0" fillId="2" fontId="3" numFmtId="0" xfId="0" applyAlignment="1" applyFont="1">
      <alignment horizontal="center" readingOrder="0" vertical="bottom"/>
    </xf>
    <xf borderId="1" fillId="3" fontId="4" numFmtId="0" xfId="0" applyAlignment="1" applyBorder="1" applyFill="1" applyFont="1">
      <alignment horizontal="left" readingOrder="0" vertical="top"/>
    </xf>
    <xf borderId="2" fillId="0" fontId="4" numFmtId="0" xfId="0" applyAlignment="1" applyBorder="1" applyFont="1">
      <alignment horizontal="center" readingOrder="0" vertical="top"/>
    </xf>
    <xf borderId="3" fillId="0" fontId="5" numFmtId="0" xfId="0" applyBorder="1" applyFont="1"/>
    <xf borderId="4" fillId="0" fontId="5" numFmtId="0" xfId="0" applyBorder="1" applyFont="1"/>
    <xf borderId="1" fillId="0" fontId="6" numFmtId="0" xfId="0" applyAlignment="1" applyBorder="1" applyFont="1">
      <alignment horizontal="left" vertical="bottom"/>
    </xf>
    <xf borderId="1" fillId="4" fontId="7" numFmtId="164" xfId="0" applyAlignment="1" applyBorder="1" applyFill="1" applyFont="1" applyNumberFormat="1">
      <alignment horizontal="right" readingOrder="0" vertical="top"/>
    </xf>
    <xf borderId="0" fillId="0" fontId="8" numFmtId="0" xfId="0" applyAlignment="1" applyFont="1">
      <alignment shrinkToFit="0" vertical="bottom" wrapText="0"/>
    </xf>
    <xf borderId="2" fillId="2" fontId="9" numFmtId="0" xfId="0" applyAlignment="1" applyBorder="1" applyFont="1">
      <alignment horizontal="center" readingOrder="0"/>
    </xf>
    <xf borderId="0" fillId="0" fontId="10" numFmtId="0" xfId="0" applyAlignment="1" applyFont="1">
      <alignment vertical="bottom"/>
    </xf>
    <xf borderId="2" fillId="2" fontId="11" numFmtId="0" xfId="0" applyAlignment="1" applyBorder="1" applyFont="1">
      <alignment horizontal="center" vertical="bottom"/>
    </xf>
    <xf borderId="1" fillId="4" fontId="12" numFmtId="0" xfId="0" applyAlignment="1" applyBorder="1" applyFont="1">
      <alignment horizontal="right" readingOrder="0" vertical="top"/>
    </xf>
    <xf borderId="5" fillId="3" fontId="13" numFmtId="0" xfId="0" applyAlignment="1" applyBorder="1" applyFont="1">
      <alignment shrinkToFit="0" vertical="bottom" wrapText="0"/>
    </xf>
    <xf borderId="6" fillId="4" fontId="8" numFmtId="0" xfId="0" applyAlignment="1" applyBorder="1" applyFont="1">
      <alignment shrinkToFit="0" vertical="bottom" wrapText="0"/>
    </xf>
    <xf borderId="7" fillId="4" fontId="14" numFmtId="164" xfId="0" applyAlignment="1" applyBorder="1" applyFont="1" applyNumberFormat="1">
      <alignment horizontal="right" readingOrder="0"/>
    </xf>
    <xf borderId="7" fillId="4" fontId="14" numFmtId="165" xfId="0" applyAlignment="1" applyBorder="1" applyFont="1" applyNumberFormat="1">
      <alignment horizontal="right" readingOrder="0"/>
    </xf>
    <xf borderId="1" fillId="4" fontId="8" numFmtId="0" xfId="0" applyAlignment="1" applyBorder="1" applyFont="1">
      <alignment shrinkToFit="0" vertical="bottom" wrapText="0"/>
    </xf>
    <xf borderId="1" fillId="4" fontId="15" numFmtId="164" xfId="0" applyAlignment="1" applyBorder="1" applyFont="1" applyNumberFormat="1">
      <alignment horizontal="right" readingOrder="0"/>
    </xf>
    <xf borderId="1" fillId="4" fontId="15" numFmtId="165" xfId="0" applyAlignment="1" applyBorder="1" applyFont="1" applyNumberFormat="1">
      <alignment horizontal="right" readingOrder="0"/>
    </xf>
    <xf borderId="5" fillId="3" fontId="10" numFmtId="0" xfId="0" applyAlignment="1" applyBorder="1" applyFont="1">
      <alignment vertical="bottom"/>
    </xf>
    <xf borderId="1" fillId="4" fontId="10" numFmtId="0" xfId="0" applyAlignment="1" applyBorder="1" applyFont="1">
      <alignment vertical="bottom"/>
    </xf>
    <xf borderId="1" fillId="4" fontId="16" numFmtId="164" xfId="0" applyAlignment="1" applyBorder="1" applyFont="1" applyNumberFormat="1">
      <alignment horizontal="right" vertical="bottom"/>
    </xf>
    <xf borderId="1" fillId="4" fontId="16" numFmtId="165" xfId="0" applyAlignment="1" applyBorder="1" applyFont="1" applyNumberFormat="1">
      <alignment horizontal="right" vertical="bottom"/>
    </xf>
    <xf borderId="2" fillId="5" fontId="2" numFmtId="0" xfId="0" applyAlignment="1" applyBorder="1" applyFill="1" applyFont="1">
      <alignment horizontal="left" readingOrder="0" shrinkToFit="0" vertical="bottom" wrapText="0"/>
    </xf>
    <xf borderId="2" fillId="4" fontId="8" numFmtId="0" xfId="0" applyAlignment="1" applyBorder="1" applyFont="1">
      <alignment shrinkToFit="0" vertical="bottom" wrapText="0"/>
    </xf>
    <xf borderId="4" fillId="4" fontId="13" numFmtId="0" xfId="0" applyAlignment="1" applyBorder="1" applyFont="1">
      <alignment shrinkToFit="0" vertical="bottom" wrapText="0"/>
    </xf>
    <xf borderId="1" fillId="5" fontId="2" numFmtId="0" xfId="0" applyAlignment="1" applyBorder="1" applyFont="1">
      <alignment horizontal="left" readingOrder="0" shrinkToFit="0" vertical="bottom" wrapText="0"/>
    </xf>
    <xf borderId="1" fillId="4" fontId="13" numFmtId="0" xfId="0" applyAlignment="1" applyBorder="1" applyFont="1">
      <alignment shrinkToFit="0" vertical="bottom" wrapText="0"/>
    </xf>
    <xf borderId="1" fillId="5" fontId="3" numFmtId="0" xfId="0" applyAlignment="1" applyBorder="1" applyFont="1">
      <alignment vertical="bottom"/>
    </xf>
    <xf borderId="1" fillId="0" fontId="7" numFmtId="0" xfId="0" applyAlignment="1" applyBorder="1" applyFont="1">
      <alignment horizontal="left" readingOrder="0" vertical="top"/>
    </xf>
    <xf borderId="1" fillId="3" fontId="13" numFmtId="0" xfId="0" applyAlignment="1" applyBorder="1" applyFont="1">
      <alignment readingOrder="0" shrinkToFit="0" vertical="bottom" wrapText="0"/>
    </xf>
    <xf borderId="1" fillId="4" fontId="8" numFmtId="0" xfId="0" applyAlignment="1" applyBorder="1" applyFont="1">
      <alignment horizontal="right" readingOrder="0" shrinkToFit="0" vertical="bottom" wrapText="0"/>
    </xf>
    <xf borderId="1" fillId="4" fontId="8" numFmtId="10" xfId="0" applyAlignment="1" applyBorder="1" applyFont="1" applyNumberFormat="1">
      <alignment horizontal="right" readingOrder="0" shrinkToFit="0" vertical="bottom" wrapText="0"/>
    </xf>
    <xf borderId="1" fillId="3" fontId="17" numFmtId="0" xfId="0" applyAlignment="1" applyBorder="1" applyFont="1">
      <alignment vertical="bottom"/>
    </xf>
    <xf borderId="1" fillId="4" fontId="18" numFmtId="10" xfId="0" applyAlignment="1" applyBorder="1" applyFont="1" applyNumberFormat="1">
      <alignment horizontal="right" vertical="bottom"/>
    </xf>
    <xf borderId="1" fillId="4" fontId="8" numFmtId="4" xfId="0" applyAlignment="1" applyBorder="1" applyFont="1" applyNumberFormat="1">
      <alignment horizontal="right" readingOrder="0" shrinkToFit="0" vertical="bottom" wrapText="0"/>
    </xf>
    <xf borderId="1" fillId="3" fontId="12" numFmtId="0" xfId="0" applyAlignment="1" applyBorder="1" applyFont="1">
      <alignment horizontal="left" readingOrder="0" vertical="top"/>
    </xf>
    <xf borderId="1" fillId="4" fontId="19" numFmtId="0" xfId="0" applyAlignment="1" applyBorder="1" applyFont="1">
      <alignment horizontal="right" readingOrder="0" shrinkToFit="0" vertical="top" wrapText="0"/>
    </xf>
    <xf borderId="1" fillId="4" fontId="8" numFmtId="4" xfId="0" applyAlignment="1" applyBorder="1" applyFont="1" applyNumberFormat="1">
      <alignment horizontal="right" shrinkToFit="0" vertical="bottom" wrapText="0"/>
    </xf>
    <xf borderId="1" fillId="3" fontId="7" numFmtId="0" xfId="0" applyAlignment="1" applyBorder="1" applyFont="1">
      <alignment horizontal="left" readingOrder="0" vertical="top"/>
    </xf>
    <xf borderId="1" fillId="4" fontId="20" numFmtId="0" xfId="0" applyAlignment="1" applyBorder="1" applyFont="1">
      <alignment horizontal="right" readingOrder="0" shrinkToFit="0" vertical="top" wrapText="0"/>
    </xf>
    <xf borderId="1" fillId="3" fontId="13" numFmtId="0" xfId="0" applyAlignment="1" applyBorder="1" applyFont="1">
      <alignment shrinkToFit="0" vertical="bottom" wrapText="0"/>
    </xf>
    <xf borderId="1" fillId="3" fontId="10" numFmtId="0" xfId="0" applyAlignment="1" applyBorder="1" applyFont="1">
      <alignment vertical="bottom"/>
    </xf>
    <xf borderId="1" fillId="4" fontId="19" numFmtId="4" xfId="0" applyAlignment="1" applyBorder="1" applyFont="1" applyNumberFormat="1">
      <alignment horizontal="right" readingOrder="0" shrinkToFit="0" vertical="top" wrapText="0"/>
    </xf>
    <xf borderId="1" fillId="5" fontId="2" numFmtId="0" xfId="0" applyAlignment="1" applyBorder="1" applyFont="1">
      <alignment readingOrder="0" shrinkToFit="0" vertical="bottom" wrapText="0"/>
    </xf>
    <xf borderId="1" fillId="4" fontId="20" numFmtId="4" xfId="0" applyAlignment="1" applyBorder="1" applyFont="1" applyNumberFormat="1">
      <alignment horizontal="right" readingOrder="0" shrinkToFit="0" vertical="top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vertical="bottom"/>
    </xf>
    <xf borderId="1" fillId="0" fontId="21" numFmtId="0" xfId="0" applyBorder="1" applyFont="1"/>
    <xf borderId="1" fillId="3" fontId="13" numFmtId="0" xfId="0" applyAlignment="1" applyBorder="1" applyFont="1">
      <alignment horizontal="left" readingOrder="0" shrinkToFit="0" vertical="bottom" wrapText="0"/>
    </xf>
    <xf borderId="1" fillId="3" fontId="2" numFmtId="0" xfId="0" applyAlignment="1" applyBorder="1" applyFont="1">
      <alignment horizontal="left" readingOrder="0" shrinkToFit="0" vertical="bottom" wrapText="0"/>
    </xf>
    <xf borderId="1" fillId="3" fontId="3" numFmtId="0" xfId="0" applyAlignment="1" applyBorder="1" applyFont="1">
      <alignment vertical="bottom"/>
    </xf>
    <xf borderId="1" fillId="3" fontId="22" numFmtId="0" xfId="0" applyAlignment="1" applyBorder="1" applyFont="1">
      <alignment horizontal="left" readingOrder="0" vertical="top"/>
    </xf>
    <xf borderId="1" fillId="3" fontId="2" numFmtId="0" xfId="0" applyAlignment="1" applyBorder="1" applyFont="1">
      <alignment readingOrder="0" shrinkToFit="0" vertical="bottom" wrapText="0"/>
    </xf>
    <xf borderId="1" fillId="4" fontId="18" numFmtId="10" xfId="0" applyAlignment="1" applyBorder="1" applyFont="1" applyNumberFormat="1">
      <alignment horizontal="right" readingOrder="0" vertical="bottom"/>
    </xf>
    <xf borderId="0" fillId="5" fontId="23" numFmtId="0" xfId="0" applyAlignment="1" applyFont="1">
      <alignment readingOrder="0" shrinkToFit="0" vertical="bottom" wrapText="0"/>
    </xf>
    <xf borderId="0" fillId="5" fontId="8" numFmtId="0" xfId="0" applyAlignment="1" applyFont="1">
      <alignment shrinkToFit="0" vertical="bottom" wrapText="0"/>
    </xf>
    <xf borderId="1" fillId="6" fontId="8" numFmtId="0" xfId="0" applyAlignment="1" applyBorder="1" applyFill="1" applyFont="1">
      <alignment shrinkToFit="0" vertical="bottom" wrapText="0"/>
    </xf>
    <xf borderId="3" fillId="6" fontId="8" numFmtId="0" xfId="0" applyAlignment="1" applyBorder="1" applyFont="1">
      <alignment shrinkToFit="0" vertical="bottom" wrapText="0"/>
    </xf>
    <xf borderId="1" fillId="6" fontId="13" numFmtId="165" xfId="0" applyAlignment="1" applyBorder="1" applyFont="1" applyNumberFormat="1">
      <alignment horizontal="right" readingOrder="0" shrinkToFit="0" vertical="bottom" wrapText="0"/>
    </xf>
    <xf borderId="1" fillId="6" fontId="13" numFmtId="0" xfId="0" applyAlignment="1" applyBorder="1" applyFont="1">
      <alignment readingOrder="0" shrinkToFit="0" vertical="bottom" wrapText="0"/>
    </xf>
    <xf borderId="8" fillId="6" fontId="13" numFmtId="0" xfId="0" applyAlignment="1" applyBorder="1" applyFont="1">
      <alignment readingOrder="0" shrinkToFit="0" vertical="bottom" wrapText="0"/>
    </xf>
    <xf borderId="0" fillId="6" fontId="8" numFmtId="0" xfId="0" applyAlignment="1" applyFont="1">
      <alignment shrinkToFit="0" vertical="bottom" wrapText="0"/>
    </xf>
    <xf borderId="7" fillId="6" fontId="8" numFmtId="0" xfId="0" applyAlignment="1" applyBorder="1" applyFont="1">
      <alignment horizontal="right" readingOrder="0" shrinkToFit="0" vertical="bottom" wrapText="0"/>
    </xf>
    <xf borderId="8" fillId="6" fontId="13" numFmtId="0" xfId="0" applyAlignment="1" applyBorder="1" applyFont="1">
      <alignment horizontal="right" readingOrder="0" shrinkToFit="0" vertical="bottom" wrapText="0"/>
    </xf>
    <xf borderId="9" fillId="6" fontId="13" numFmtId="0" xfId="0" applyAlignment="1" applyBorder="1" applyFont="1">
      <alignment readingOrder="0" shrinkToFit="0" vertical="bottom" wrapText="0"/>
    </xf>
    <xf borderId="10" fillId="6" fontId="8" numFmtId="0" xfId="0" applyAlignment="1" applyBorder="1" applyFont="1">
      <alignment shrinkToFit="0" vertical="bottom" wrapText="0"/>
    </xf>
    <xf borderId="11" fillId="6" fontId="8" numFmtId="0" xfId="0" applyAlignment="1" applyBorder="1" applyFont="1">
      <alignment horizontal="right" readingOrder="0" shrinkToFit="0" vertical="bottom" wrapText="0"/>
    </xf>
    <xf borderId="9" fillId="6" fontId="13" numFmtId="0" xfId="0" applyAlignment="1" applyBorder="1" applyFont="1">
      <alignment horizontal="right" readingOrder="0" shrinkToFit="0" vertical="bottom" wrapText="0"/>
    </xf>
    <xf borderId="6" fillId="0" fontId="24" numFmtId="0" xfId="0" applyAlignment="1" applyBorder="1" applyFont="1">
      <alignment readingOrder="0" shrinkToFit="0" vertical="bottom" wrapText="0"/>
    </xf>
    <xf borderId="12" fillId="0" fontId="13" numFmtId="165" xfId="0" applyAlignment="1" applyBorder="1" applyFont="1" applyNumberFormat="1">
      <alignment horizontal="right" readingOrder="0" shrinkToFit="0" vertical="bottom" wrapText="0"/>
    </xf>
    <xf borderId="9" fillId="0" fontId="8" numFmtId="0" xfId="0" applyAlignment="1" applyBorder="1" applyFont="1">
      <alignment readingOrder="0" shrinkToFit="0" vertical="bottom" wrapText="0"/>
    </xf>
    <xf borderId="11" fillId="0" fontId="13" numFmtId="0" xfId="0" applyAlignment="1" applyBorder="1" applyFont="1">
      <alignment shrinkToFit="0" vertical="bottom" wrapText="0"/>
    </xf>
    <xf borderId="8" fillId="0" fontId="13" numFmtId="0" xfId="0" applyAlignment="1" applyBorder="1" applyFont="1">
      <alignment readingOrder="0" shrinkToFit="0" vertical="bottom" wrapText="0"/>
    </xf>
    <xf borderId="7" fillId="7" fontId="25" numFmtId="0" xfId="0" applyAlignment="1" applyBorder="1" applyFill="1" applyFont="1">
      <alignment horizontal="right" readingOrder="0" shrinkToFit="0" vertical="bottom" wrapText="0"/>
    </xf>
    <xf borderId="7" fillId="8" fontId="8" numFmtId="4" xfId="0" applyAlignment="1" applyBorder="1" applyFill="1" applyFont="1" applyNumberFormat="1">
      <alignment horizontal="right" readingOrder="0" shrinkToFit="0" vertical="bottom" wrapText="0"/>
    </xf>
    <xf borderId="7" fillId="7" fontId="25" numFmtId="4" xfId="0" applyAlignment="1" applyBorder="1" applyFont="1" applyNumberFormat="1">
      <alignment horizontal="right" readingOrder="0" shrinkToFit="0" vertical="bottom" wrapText="0"/>
    </xf>
    <xf borderId="9" fillId="0" fontId="13" numFmtId="0" xfId="0" applyAlignment="1" applyBorder="1" applyFont="1">
      <alignment readingOrder="0" shrinkToFit="0" vertical="bottom" wrapText="0"/>
    </xf>
    <xf borderId="11" fillId="7" fontId="25" numFmtId="4" xfId="0" applyAlignment="1" applyBorder="1" applyFont="1" applyNumberFormat="1">
      <alignment horizontal="right" readingOrder="0" shrinkToFit="0" vertical="bottom" wrapText="0"/>
    </xf>
    <xf borderId="11" fillId="8" fontId="8" numFmtId="4" xfId="0" applyAlignment="1" applyBorder="1" applyFont="1" applyNumberFormat="1">
      <alignment horizontal="right" readingOrder="0" shrinkToFit="0" vertical="bottom" wrapText="0"/>
    </xf>
    <xf borderId="5" fillId="0" fontId="26" numFmtId="0" xfId="0" applyAlignment="1" applyBorder="1" applyFont="1">
      <alignment horizontal="center" readingOrder="0" vertical="top"/>
    </xf>
    <xf borderId="13" fillId="0" fontId="5" numFmtId="0" xfId="0" applyBorder="1" applyFont="1"/>
    <xf borderId="12" fillId="0" fontId="5" numFmtId="0" xfId="0" applyBorder="1" applyFont="1"/>
    <xf borderId="0" fillId="2" fontId="9" numFmtId="0" xfId="0" applyAlignment="1" applyFont="1">
      <alignment horizontal="center" readingOrder="0" shrinkToFit="0" vertical="bottom" wrapText="0"/>
    </xf>
    <xf borderId="7" fillId="0" fontId="5" numFmtId="0" xfId="0" applyBorder="1" applyFont="1"/>
    <xf borderId="14" fillId="5" fontId="27" numFmtId="0" xfId="0" applyAlignment="1" applyBorder="1" applyFont="1">
      <alignment horizontal="center" readingOrder="0"/>
    </xf>
    <xf borderId="15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6" fillId="5" fontId="27" numFmtId="0" xfId="0" applyAlignment="1" applyBorder="1" applyFont="1">
      <alignment horizontal="center" readingOrder="0"/>
    </xf>
    <xf borderId="1" fillId="3" fontId="28" numFmtId="0" xfId="0" applyAlignment="1" applyBorder="1" applyFont="1">
      <alignment horizontal="center" readingOrder="0" vertical="top"/>
    </xf>
    <xf borderId="2" fillId="4" fontId="28" numFmtId="0" xfId="0" applyAlignment="1" applyBorder="1" applyFont="1">
      <alignment horizontal="center" readingOrder="0" vertical="top"/>
    </xf>
    <xf borderId="0" fillId="0" fontId="8" numFmtId="0" xfId="0" applyAlignment="1" applyFont="1">
      <alignment shrinkToFit="0" vertical="bottom" wrapText="0"/>
    </xf>
    <xf borderId="2" fillId="2" fontId="9" numFmtId="4" xfId="0" applyAlignment="1" applyBorder="1" applyFont="1" applyNumberFormat="1">
      <alignment horizontal="center" readingOrder="0"/>
    </xf>
    <xf borderId="0" fillId="5" fontId="27" numFmtId="0" xfId="0" applyAlignment="1" applyFont="1">
      <alignment horizontal="center" readingOrder="0"/>
    </xf>
    <xf borderId="1" fillId="0" fontId="29" numFmtId="0" xfId="0" applyAlignment="1" applyBorder="1" applyFont="1">
      <alignment horizontal="left" vertical="bottom"/>
    </xf>
    <xf borderId="1" fillId="4" fontId="30" numFmtId="164" xfId="0" applyAlignment="1" applyBorder="1" applyFont="1" applyNumberFormat="1">
      <alignment horizontal="right" readingOrder="0" vertical="top"/>
    </xf>
    <xf borderId="1" fillId="4" fontId="30" numFmtId="164" xfId="0" applyAlignment="1" applyBorder="1" applyFont="1" applyNumberFormat="1">
      <alignment readingOrder="0" vertical="top"/>
    </xf>
    <xf borderId="17" fillId="5" fontId="27" numFmtId="0" xfId="0" applyAlignment="1" applyBorder="1" applyFont="1">
      <alignment horizontal="center" readingOrder="0"/>
    </xf>
    <xf borderId="1" fillId="4" fontId="28" numFmtId="0" xfId="0" applyAlignment="1" applyBorder="1" applyFont="1">
      <alignment horizontal="right" readingOrder="0" shrinkToFit="0" vertical="top" wrapText="0"/>
    </xf>
    <xf borderId="1" fillId="4" fontId="28" numFmtId="0" xfId="0" applyAlignment="1" applyBorder="1" applyFont="1">
      <alignment horizontal="right" readingOrder="0" vertical="top"/>
    </xf>
    <xf borderId="1" fillId="3" fontId="31" numFmtId="0" xfId="0" applyAlignment="1" applyBorder="1" applyFont="1">
      <alignment readingOrder="0" shrinkToFit="0" vertical="bottom" wrapText="0"/>
    </xf>
    <xf borderId="18" fillId="5" fontId="32" numFmtId="0" xfId="0" applyAlignment="1" applyBorder="1" applyFont="1">
      <alignment horizontal="center" readingOrder="0"/>
    </xf>
    <xf borderId="1" fillId="0" fontId="28" numFmtId="0" xfId="0" applyAlignment="1" applyBorder="1" applyFont="1">
      <alignment horizontal="right" readingOrder="0" shrinkToFit="0" vertical="top" wrapText="0"/>
    </xf>
    <xf borderId="1" fillId="0" fontId="28" numFmtId="0" xfId="0" applyAlignment="1" applyBorder="1" applyFont="1">
      <alignment readingOrder="0" vertical="top"/>
    </xf>
    <xf borderId="1" fillId="3" fontId="8" numFmtId="0" xfId="0" applyAlignment="1" applyBorder="1" applyFont="1">
      <alignment readingOrder="0" shrinkToFit="0" vertical="bottom" wrapText="0"/>
    </xf>
    <xf borderId="14" fillId="5" fontId="32" numFmtId="0" xfId="0" applyAlignment="1" applyBorder="1" applyFont="1">
      <alignment horizontal="center" readingOrder="0"/>
    </xf>
    <xf borderId="1" fillId="0" fontId="30" numFmtId="0" xfId="0" applyAlignment="1" applyBorder="1" applyFont="1">
      <alignment horizontal="left" readingOrder="0" vertical="top"/>
    </xf>
    <xf borderId="1" fillId="0" fontId="29" numFmtId="0" xfId="0" applyAlignment="1" applyBorder="1" applyFont="1">
      <alignment vertical="bottom"/>
    </xf>
    <xf borderId="1" fillId="3" fontId="8" numFmtId="0" xfId="0" applyAlignment="1" applyBorder="1" applyFont="1">
      <alignment shrinkToFit="0" vertical="bottom" wrapText="0"/>
    </xf>
    <xf borderId="1" fillId="4" fontId="8" numFmtId="164" xfId="0" applyAlignment="1" applyBorder="1" applyFont="1" applyNumberFormat="1">
      <alignment shrinkToFit="0" vertical="bottom" wrapText="0"/>
    </xf>
    <xf borderId="1" fillId="4" fontId="8" numFmtId="165" xfId="0" applyAlignment="1" applyBorder="1" applyFont="1" applyNumberFormat="1">
      <alignment shrinkToFit="0" vertical="bottom" wrapText="0"/>
    </xf>
    <xf borderId="14" fillId="5" fontId="32" numFmtId="165" xfId="0" applyAlignment="1" applyBorder="1" applyFont="1" applyNumberFormat="1">
      <alignment horizontal="right" readingOrder="0"/>
    </xf>
    <xf borderId="1" fillId="3" fontId="8" numFmtId="165" xfId="0" applyAlignment="1" applyBorder="1" applyFont="1" applyNumberFormat="1">
      <alignment shrinkToFit="0" vertical="bottom" wrapText="0"/>
    </xf>
    <xf borderId="1" fillId="3" fontId="30" numFmtId="0" xfId="0" applyAlignment="1" applyBorder="1" applyFont="1">
      <alignment horizontal="left" readingOrder="0" vertical="top"/>
    </xf>
    <xf borderId="1" fillId="4" fontId="33" numFmtId="4" xfId="0" applyAlignment="1" applyBorder="1" applyFont="1" applyNumberFormat="1">
      <alignment horizontal="right" readingOrder="0" shrinkToFit="0" vertical="top" wrapText="0"/>
    </xf>
    <xf borderId="14" fillId="5" fontId="32" numFmtId="0" xfId="0" applyBorder="1" applyFont="1"/>
    <xf borderId="1" fillId="4" fontId="8" numFmtId="0" xfId="0" applyAlignment="1" applyBorder="1" applyFont="1">
      <alignment shrinkToFit="0" vertical="bottom" wrapText="0"/>
    </xf>
    <xf borderId="14" fillId="5" fontId="32" numFmtId="0" xfId="0" applyAlignment="1" applyBorder="1" applyFont="1">
      <alignment horizontal="right" readingOrder="0"/>
    </xf>
    <xf borderId="1" fillId="3" fontId="8" numFmtId="0" xfId="0" applyAlignment="1" applyBorder="1" applyFont="1">
      <alignment shrinkToFit="0" vertical="bottom" wrapText="0"/>
    </xf>
    <xf borderId="1" fillId="3" fontId="28" numFmtId="0" xfId="0" applyAlignment="1" applyBorder="1" applyFont="1">
      <alignment horizontal="left" readingOrder="0" vertical="top"/>
    </xf>
    <xf borderId="1" fillId="4" fontId="34" numFmtId="4" xfId="0" applyAlignment="1" applyBorder="1" applyFont="1" applyNumberFormat="1">
      <alignment horizontal="right" readingOrder="0" shrinkToFit="0" vertical="top" wrapText="0"/>
    </xf>
    <xf borderId="1" fillId="4" fontId="34" numFmtId="0" xfId="0" applyAlignment="1" applyBorder="1" applyFont="1">
      <alignment horizontal="right" readingOrder="0" shrinkToFit="0" vertical="top" wrapText="0"/>
    </xf>
    <xf borderId="1" fillId="3" fontId="8" numFmtId="0" xfId="0" applyAlignment="1" applyBorder="1" applyFont="1">
      <alignment horizontal="left" shrinkToFit="0" vertical="bottom" wrapText="0"/>
    </xf>
    <xf borderId="14" fillId="5" fontId="32" numFmtId="0" xfId="0" applyAlignment="1" applyBorder="1" applyFont="1">
      <alignment horizontal="right"/>
    </xf>
    <xf borderId="1" fillId="3" fontId="8" numFmtId="0" xfId="0" applyAlignment="1" applyBorder="1" applyFont="1">
      <alignment horizontal="left" shrinkToFit="0" vertical="bottom" wrapText="0"/>
    </xf>
    <xf borderId="14" fillId="5" fontId="32" numFmtId="4" xfId="0" applyAlignment="1" applyBorder="1" applyFont="1" applyNumberFormat="1">
      <alignment horizontal="right" readingOrder="0"/>
    </xf>
    <xf borderId="1" fillId="3" fontId="31" numFmtId="4" xfId="0" applyAlignment="1" applyBorder="1" applyFont="1" applyNumberFormat="1">
      <alignment readingOrder="0" shrinkToFit="0" vertical="bottom" wrapText="0"/>
    </xf>
    <xf borderId="1" fillId="4" fontId="8" numFmtId="4" xfId="0" applyAlignment="1" applyBorder="1" applyFont="1" applyNumberFormat="1">
      <alignment shrinkToFit="0" vertical="bottom" wrapText="0"/>
    </xf>
    <xf borderId="1" fillId="3" fontId="8" numFmtId="4" xfId="0" applyAlignment="1" applyBorder="1" applyFont="1" applyNumberFormat="1">
      <alignment shrinkToFit="0" vertical="bottom" wrapText="0"/>
    </xf>
    <xf borderId="1" fillId="3" fontId="8" numFmtId="4" xfId="0" applyAlignment="1" applyBorder="1" applyFont="1" applyNumberFormat="1">
      <alignment readingOrder="0" shrinkToFit="0" vertical="bottom" wrapText="0"/>
    </xf>
    <xf borderId="1" fillId="4" fontId="33" numFmtId="0" xfId="0" applyAlignment="1" applyBorder="1" applyFont="1">
      <alignment horizontal="right" readingOrder="0" shrinkToFit="0" vertical="top" wrapText="0"/>
    </xf>
    <xf borderId="1" fillId="4" fontId="8" numFmtId="4" xfId="0" applyAlignment="1" applyBorder="1" applyFont="1" applyNumberFormat="1">
      <alignment readingOrder="0" shrinkToFit="0" vertical="bottom" wrapText="0"/>
    </xf>
    <xf borderId="1" fillId="4" fontId="8" numFmtId="10" xfId="0" applyAlignment="1" applyBorder="1" applyFont="1" applyNumberFormat="1">
      <alignment shrinkToFit="0" vertical="bottom" wrapText="0"/>
    </xf>
    <xf borderId="19" fillId="5" fontId="32" numFmtId="0" xfId="0" applyAlignment="1" applyBorder="1" applyFont="1">
      <alignment readingOrder="0"/>
    </xf>
    <xf borderId="20" fillId="0" fontId="5" numFmtId="0" xfId="0" applyBorder="1" applyFont="1"/>
    <xf borderId="14" fillId="5" fontId="32" numFmtId="0" xfId="0" applyAlignment="1" applyBorder="1" applyFont="1">
      <alignment readingOrder="0"/>
    </xf>
    <xf borderId="1" fillId="0" fontId="30" numFmtId="0" xfId="0" applyAlignment="1" applyBorder="1" applyFont="1">
      <alignment readingOrder="0" shrinkToFit="0" vertical="top" wrapText="0"/>
    </xf>
    <xf borderId="1" fillId="0" fontId="30" numFmtId="0" xfId="0" applyAlignment="1" applyBorder="1" applyFont="1">
      <alignment vertical="top"/>
    </xf>
    <xf borderId="1" fillId="0" fontId="30" numFmtId="0" xfId="0" applyAlignment="1" applyBorder="1" applyFont="1">
      <alignment readingOrder="0" vertical="top"/>
    </xf>
    <xf borderId="1" fillId="3" fontId="28" numFmtId="0" xfId="0" applyAlignment="1" applyBorder="1" applyFont="1">
      <alignment readingOrder="0" vertical="top"/>
    </xf>
    <xf borderId="6" fillId="6" fontId="23" numFmtId="0" xfId="0" applyAlignment="1" applyBorder="1" applyFont="1">
      <alignment readingOrder="0" shrinkToFit="0" vertical="bottom" wrapText="0"/>
    </xf>
    <xf borderId="3" fillId="6" fontId="13" numFmtId="0" xfId="0" applyAlignment="1" applyBorder="1" applyFont="1">
      <alignment shrinkToFit="0" vertical="bottom" wrapText="0"/>
    </xf>
    <xf borderId="4" fillId="6" fontId="13" numFmtId="165" xfId="0" applyAlignment="1" applyBorder="1" applyFont="1" applyNumberFormat="1">
      <alignment horizontal="right" readingOrder="0" shrinkToFit="0" vertical="bottom" wrapText="0"/>
    </xf>
    <xf borderId="6" fillId="6" fontId="13" numFmtId="0" xfId="0" applyAlignment="1" applyBorder="1" applyFont="1">
      <alignment shrinkToFit="0" vertical="bottom" wrapText="0"/>
    </xf>
    <xf borderId="8" fillId="6" fontId="8" numFmtId="0" xfId="0" applyAlignment="1" applyBorder="1" applyFont="1">
      <alignment shrinkToFit="0" vertical="bottom" wrapText="0"/>
    </xf>
    <xf borderId="7" fillId="6" fontId="8" numFmtId="0" xfId="0" applyAlignment="1" applyBorder="1" applyFont="1">
      <alignment shrinkToFit="0" vertical="bottom" wrapText="0"/>
    </xf>
    <xf borderId="7" fillId="6" fontId="8" numFmtId="10" xfId="0" applyAlignment="1" applyBorder="1" applyFont="1" applyNumberFormat="1">
      <alignment horizontal="right" readingOrder="0" shrinkToFit="0" vertical="bottom" wrapText="0"/>
    </xf>
    <xf borderId="8" fillId="6" fontId="8" numFmtId="10" xfId="0" applyAlignment="1" applyBorder="1" applyFont="1" applyNumberFormat="1">
      <alignment horizontal="right" readingOrder="0" shrinkToFit="0" vertical="bottom" wrapText="0"/>
    </xf>
    <xf borderId="9" fillId="6" fontId="8" numFmtId="10" xfId="0" applyAlignment="1" applyBorder="1" applyFont="1" applyNumberFormat="1">
      <alignment horizontal="right" readingOrder="0" shrinkToFit="0" vertical="bottom" wrapText="0"/>
    </xf>
    <xf borderId="6" fillId="0" fontId="23" numFmtId="0" xfId="0" applyAlignment="1" applyBorder="1" applyFont="1">
      <alignment readingOrder="0" shrinkToFit="0" vertical="bottom" wrapText="0"/>
    </xf>
    <xf borderId="13" fillId="0" fontId="13" numFmtId="165" xfId="0" applyAlignment="1" applyBorder="1" applyFont="1" applyNumberFormat="1">
      <alignment horizontal="right" readingOrder="0" shrinkToFit="0" vertical="bottom" wrapText="0"/>
    </xf>
    <xf borderId="6" fillId="0" fontId="13" numFmtId="165" xfId="0" applyAlignment="1" applyBorder="1" applyFont="1" applyNumberFormat="1">
      <alignment horizontal="right" readingOrder="0" shrinkToFit="0" vertical="bottom" wrapText="0"/>
    </xf>
    <xf borderId="10" fillId="0" fontId="8" numFmtId="0" xfId="0" applyAlignment="1" applyBorder="1" applyFont="1">
      <alignment shrinkToFit="0" vertical="bottom" wrapText="0"/>
    </xf>
    <xf borderId="9" fillId="0" fontId="8" numFmtId="0" xfId="0" applyAlignment="1" applyBorder="1" applyFont="1">
      <alignment shrinkToFit="0" vertical="bottom" wrapText="0"/>
    </xf>
    <xf borderId="11" fillId="0" fontId="8" numFmtId="0" xfId="0" applyAlignment="1" applyBorder="1" applyFont="1">
      <alignment shrinkToFit="0" vertical="bottom" wrapText="0"/>
    </xf>
    <xf borderId="8" fillId="0" fontId="8" numFmtId="0" xfId="0" applyAlignment="1" applyBorder="1" applyFont="1">
      <alignment readingOrder="0" shrinkToFit="0" vertical="bottom" wrapText="0"/>
    </xf>
    <xf borderId="7" fillId="8" fontId="13" numFmtId="4" xfId="0" applyAlignment="1" applyBorder="1" applyFont="1" applyNumberFormat="1">
      <alignment horizontal="right" readingOrder="0" shrinkToFit="0" vertical="bottom" wrapText="0"/>
    </xf>
    <xf borderId="8" fillId="0" fontId="8" numFmtId="0" xfId="0" applyAlignment="1" applyBorder="1" applyFont="1">
      <alignment shrinkToFit="0" vertical="bottom" wrapText="0"/>
    </xf>
    <xf borderId="0" fillId="7" fontId="25" numFmtId="0" xfId="0" applyAlignment="1" applyFont="1">
      <alignment shrinkToFit="0" vertical="bottom" wrapText="0"/>
    </xf>
    <xf borderId="8" fillId="7" fontId="25" numFmtId="0" xfId="0" applyAlignment="1" applyBorder="1" applyFont="1">
      <alignment shrinkToFit="0" vertical="bottom" wrapText="0"/>
    </xf>
    <xf borderId="7" fillId="7" fontId="25" numFmtId="0" xfId="0" applyAlignment="1" applyBorder="1" applyFont="1">
      <alignment shrinkToFit="0" vertical="bottom" wrapText="0"/>
    </xf>
    <xf borderId="7" fillId="8" fontId="13" numFmtId="0" xfId="0" applyAlignment="1" applyBorder="1" applyFont="1">
      <alignment shrinkToFit="0" vertical="bottom" wrapText="0"/>
    </xf>
    <xf borderId="11" fillId="7" fontId="25" numFmtId="0" xfId="0" applyAlignment="1" applyBorder="1" applyFont="1">
      <alignment horizontal="right" readingOrder="0" shrinkToFit="0" vertical="bottom" wrapText="0"/>
    </xf>
    <xf borderId="11" fillId="8" fontId="13" numFmtId="4" xfId="0" applyAlignment="1" applyBorder="1" applyFont="1" applyNumberFormat="1">
      <alignment horizontal="right" readingOrder="0" shrinkToFit="0" vertical="bottom" wrapText="0"/>
    </xf>
    <xf borderId="0" fillId="5" fontId="2" numFmtId="0" xfId="0" applyAlignment="1" applyFont="1">
      <alignment readingOrder="0" shrinkToFit="0" vertical="bottom" wrapText="0"/>
    </xf>
    <xf borderId="1" fillId="9" fontId="13" numFmtId="0" xfId="0" applyAlignment="1" applyBorder="1" applyFill="1" applyFont="1">
      <alignment readingOrder="0"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0" fontId="13" numFmtId="165" xfId="0" applyAlignment="1" applyBorder="1" applyFont="1" applyNumberFormat="1">
      <alignment horizontal="right" readingOrder="0" shrinkToFit="0" vertical="bottom" wrapText="0"/>
    </xf>
    <xf borderId="1" fillId="9" fontId="13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horizontal="right" readingOrder="0" shrinkToFit="0" vertical="bottom" wrapText="0"/>
    </xf>
    <xf borderId="1" fillId="0" fontId="8" numFmtId="4" xfId="0" applyAlignment="1" applyBorder="1" applyFont="1" applyNumberFormat="1">
      <alignment horizontal="right" readingOrder="0" shrinkToFit="0" vertical="bottom" wrapText="0"/>
    </xf>
    <xf borderId="1" fillId="10" fontId="35" numFmtId="0" xfId="0" applyAlignment="1" applyBorder="1" applyFill="1" applyFont="1">
      <alignment readingOrder="0" shrinkToFit="0" vertical="bottom" wrapText="0"/>
    </xf>
    <xf borderId="1" fillId="10" fontId="35" numFmtId="0" xfId="0" applyAlignment="1" applyBorder="1" applyFont="1">
      <alignment shrinkToFit="0" vertical="bottom" wrapText="0"/>
    </xf>
    <xf borderId="1" fillId="10" fontId="35" numFmtId="0" xfId="0" applyAlignment="1" applyBorder="1" applyFont="1">
      <alignment horizontal="right" readingOrder="0" shrinkToFit="0" vertical="bottom" wrapText="0"/>
    </xf>
    <xf borderId="1" fillId="10" fontId="35" numFmtId="4" xfId="0" applyAlignment="1" applyBorder="1" applyFont="1" applyNumberFormat="1">
      <alignment horizontal="right" readingOrder="0" shrinkToFit="0" vertical="bottom" wrapText="0"/>
    </xf>
    <xf borderId="4" fillId="10" fontId="35" numFmtId="0" xfId="0" applyAlignment="1" applyBorder="1" applyFont="1">
      <alignment shrinkToFit="0" vertical="bottom" wrapText="0"/>
    </xf>
    <xf borderId="4" fillId="10" fontId="35" numFmtId="4" xfId="0" applyAlignment="1" applyBorder="1" applyFont="1" applyNumberFormat="1">
      <alignment horizontal="right" readingOrder="0" shrinkToFit="0" vertical="bottom" wrapText="0"/>
    </xf>
    <xf borderId="0" fillId="0" fontId="36" numFmtId="0" xfId="0" applyAlignment="1" applyFont="1">
      <alignment readingOrder="0" shrinkToFit="0" vertical="bottom" wrapText="0"/>
    </xf>
    <xf borderId="0" fillId="0" fontId="37" numFmtId="0" xfId="0" applyAlignment="1" applyFont="1">
      <alignment readingOrder="0" shrinkToFit="0" vertical="bottom" wrapText="0"/>
    </xf>
    <xf borderId="0" fillId="0" fontId="38" numFmtId="0" xfId="0" applyAlignment="1" applyFont="1">
      <alignment shrinkToFit="0" vertical="bottom" wrapText="0"/>
    </xf>
    <xf borderId="1" fillId="0" fontId="10" numFmtId="0" xfId="0" applyAlignment="1" applyBorder="1" applyFont="1">
      <alignment vertical="bottom"/>
    </xf>
    <xf borderId="10" fillId="0" fontId="8" numFmtId="0" xfId="0" applyAlignment="1" applyBorder="1" applyFont="1">
      <alignment readingOrder="0" shrinkToFit="0" vertical="bottom" wrapText="0"/>
    </xf>
    <xf borderId="1" fillId="0" fontId="10" numFmtId="166" xfId="0" applyAlignment="1" applyBorder="1" applyFont="1" applyNumberFormat="1">
      <alignment horizontal="right" vertical="bottom"/>
    </xf>
    <xf borderId="1" fillId="0" fontId="10" numFmtId="0" xfId="0" applyAlignment="1" applyBorder="1" applyFont="1">
      <alignment horizontal="right" vertical="bottom"/>
    </xf>
    <xf borderId="1" fillId="0" fontId="10" numFmtId="10" xfId="0" applyAlignment="1" applyBorder="1" applyFont="1" applyNumberFormat="1">
      <alignment horizontal="right" vertical="bottom"/>
    </xf>
    <xf borderId="3" fillId="0" fontId="39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1" fillId="0" fontId="10" numFmtId="167" xfId="0" applyAlignment="1" applyBorder="1" applyFont="1" applyNumberFormat="1">
      <alignment horizontal="right" vertical="bottom"/>
    </xf>
    <xf borderId="10" fillId="0" fontId="8" numFmtId="0" xfId="0" applyAlignment="1" applyBorder="1" applyFont="1">
      <alignment horizontal="right" readingOrder="0" shrinkToFit="0" vertical="bottom" wrapText="0"/>
    </xf>
    <xf borderId="3" fillId="0" fontId="39" numFmtId="0" xfId="0" applyAlignment="1" applyBorder="1" applyFont="1">
      <alignment horizontal="center" shrinkToFit="0" vertical="bottom" wrapText="0"/>
    </xf>
    <xf borderId="0" fillId="0" fontId="8" numFmtId="11" xfId="0" applyAlignment="1" applyFont="1" applyNumberFormat="1">
      <alignment horizontal="right" readingOrder="0" shrinkToFit="0" vertical="bottom" wrapText="0"/>
    </xf>
    <xf borderId="10" fillId="0" fontId="8" numFmtId="11" xfId="0" applyAlignment="1" applyBorder="1" applyFont="1" applyNumberFormat="1">
      <alignment horizontal="right" readingOrder="0" shrinkToFit="0" vertical="bottom" wrapText="0"/>
    </xf>
    <xf borderId="1" fillId="0" fontId="10" numFmtId="168" xfId="0" applyAlignment="1" applyBorder="1" applyFont="1" applyNumberFormat="1">
      <alignment horizontal="right" vertical="bottom"/>
    </xf>
    <xf borderId="1" fillId="0" fontId="8" numFmtId="0" xfId="0" applyAlignment="1" applyBorder="1" applyFont="1">
      <alignment readingOrder="0" shrinkToFit="0" vertical="bottom" wrapText="0"/>
    </xf>
    <xf borderId="1" fillId="5" fontId="40" numFmtId="0" xfId="0" applyAlignment="1" applyBorder="1" applyFont="1">
      <alignment horizontal="right" readingOrder="0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0" fontId="8" numFmtId="10" xfId="0" applyAlignment="1" applyFont="1" applyNumberFormat="1">
      <alignment horizontal="center" readingOrder="0" shrinkToFit="0" vertical="bottom" wrapText="0"/>
    </xf>
    <xf borderId="0" fillId="0" fontId="8" numFmtId="10" xfId="0" applyAlignment="1" applyFont="1" applyNumberFormat="1">
      <alignment horizontal="right" readingOrder="0" shrinkToFit="0" vertical="bottom" wrapText="0"/>
    </xf>
    <xf borderId="1" fillId="0" fontId="10" numFmtId="169" xfId="0" applyAlignment="1" applyBorder="1" applyFont="1" applyNumberFormat="1">
      <alignment horizontal="right" vertical="bottom"/>
    </xf>
    <xf borderId="0" fillId="0" fontId="41" numFmtId="0" xfId="0" applyAlignment="1" applyFont="1">
      <alignment horizontal="left" readingOrder="0" shrinkToFit="0" vertical="bottom" wrapText="0"/>
    </xf>
    <xf borderId="0" fillId="0" fontId="21" numFmtId="0" xfId="0" applyAlignment="1" applyFont="1">
      <alignment horizontal="center" readingOrder="0"/>
    </xf>
    <xf borderId="2" fillId="0" fontId="42" numFmtId="0" xfId="0" applyAlignment="1" applyBorder="1" applyFont="1">
      <alignment horizontal="center" readingOrder="0" shrinkToFit="0" vertical="bottom" wrapText="0"/>
    </xf>
    <xf borderId="4" fillId="0" fontId="42" numFmtId="10" xfId="0" applyAlignment="1" applyBorder="1" applyFont="1" applyNumberFormat="1">
      <alignment horizontal="center" readingOrder="0" shrinkToFit="0" vertical="bottom" wrapText="0"/>
    </xf>
    <xf borderId="2" fillId="11" fontId="31" numFmtId="0" xfId="0" applyAlignment="1" applyBorder="1" applyFill="1" applyFont="1">
      <alignment horizontal="lef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1" fillId="3" fontId="8" numFmtId="0" xfId="0" applyAlignment="1" applyBorder="1" applyFont="1">
      <alignment readingOrder="0" shrinkToFit="0" vertical="bottom" wrapText="0"/>
    </xf>
    <xf borderId="1" fillId="4" fontId="8" numFmtId="0" xfId="0" applyAlignment="1" applyBorder="1" applyFont="1">
      <alignment horizontal="right" readingOrder="0" shrinkToFit="0" vertical="bottom" wrapText="0"/>
    </xf>
    <xf borderId="1" fillId="4" fontId="8" numFmtId="10" xfId="0" applyAlignment="1" applyBorder="1" applyFont="1" applyNumberFormat="1">
      <alignment horizontal="right" readingOrder="0" shrinkToFit="0" vertical="bottom" wrapText="0"/>
    </xf>
    <xf borderId="1" fillId="4" fontId="43" numFmtId="10" xfId="0" applyAlignment="1" applyBorder="1" applyFont="1" applyNumberFormat="1">
      <alignment horizontal="right" readingOrder="0" shrinkToFit="0" vertical="bottom" wrapText="0"/>
    </xf>
    <xf borderId="2" fillId="11" fontId="31" numFmtId="0" xfId="0" applyAlignment="1" applyBorder="1" applyFont="1">
      <alignment horizontal="left" readingOrder="0" shrinkToFit="0" vertical="top" wrapText="0"/>
    </xf>
    <xf borderId="1" fillId="4" fontId="8" numFmtId="3" xfId="0" applyAlignment="1" applyBorder="1" applyFont="1" applyNumberFormat="1">
      <alignment horizontal="right" readingOrder="0" shrinkToFit="0" vertical="bottom" wrapText="0"/>
    </xf>
    <xf borderId="0" fillId="0" fontId="21" numFmtId="0" xfId="0" applyAlignment="1" applyFont="1">
      <alignment readingOrder="0"/>
    </xf>
    <xf borderId="1" fillId="0" fontId="8" numFmtId="0" xfId="0" applyAlignment="1" applyBorder="1" applyFont="1">
      <alignment shrinkToFit="0" vertical="bottom" wrapText="0"/>
    </xf>
    <xf borderId="1" fillId="4" fontId="8" numFmtId="4" xfId="0" applyAlignment="1" applyBorder="1" applyFont="1" applyNumberFormat="1">
      <alignment horizontal="right" readingOrder="0" shrinkToFit="0" vertical="bottom" wrapText="0"/>
    </xf>
    <xf borderId="1" fillId="11" fontId="31" numFmtId="0" xfId="0" applyAlignment="1" applyBorder="1" applyFont="1">
      <alignment readingOrder="0" shrinkToFit="0" vertical="bottom" wrapText="0"/>
    </xf>
    <xf borderId="1" fillId="11" fontId="8" numFmtId="0" xfId="0" applyAlignment="1" applyBorder="1" applyFont="1">
      <alignment shrinkToFit="0" vertical="bottom" wrapText="0"/>
    </xf>
    <xf borderId="1" fillId="11" fontId="2" numFmtId="0" xfId="0" applyAlignment="1" applyBorder="1" applyFont="1">
      <alignment readingOrder="0" shrinkToFit="0" vertical="bottom" wrapText="0"/>
    </xf>
    <xf borderId="1" fillId="11" fontId="31" numFmtId="165" xfId="0" applyAlignment="1" applyBorder="1" applyFont="1" applyNumberFormat="1">
      <alignment horizontal="right" readingOrder="0" shrinkToFit="0" vertical="bottom" wrapText="0"/>
    </xf>
    <xf borderId="2" fillId="11" fontId="31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horizontal="center" shrinkToFit="0" vertical="bottom" wrapText="0"/>
    </xf>
    <xf borderId="3" fillId="4" fontId="8" numFmtId="10" xfId="0" applyAlignment="1" applyBorder="1" applyFont="1" applyNumberFormat="1">
      <alignment horizontal="center" readingOrder="0" shrinkToFit="0" vertical="bottom" wrapText="0"/>
    </xf>
    <xf borderId="3" fillId="4" fontId="8" numFmtId="0" xfId="0" applyAlignment="1" applyBorder="1" applyFont="1">
      <alignment horizontal="center" readingOrder="0" shrinkToFit="0" vertical="bottom" wrapText="0"/>
    </xf>
    <xf borderId="3" fillId="4" fontId="8" numFmtId="4" xfId="0" applyAlignment="1" applyBorder="1" applyFont="1" applyNumberFormat="1">
      <alignment horizontal="center" readingOrder="0" shrinkToFit="0" vertical="bottom" wrapText="0"/>
    </xf>
    <xf borderId="1" fillId="11" fontId="31" numFmtId="0" xfId="0" applyAlignment="1" applyBorder="1" applyFont="1">
      <alignment shrinkToFit="0" vertical="bottom" wrapText="0"/>
    </xf>
    <xf borderId="4" fillId="11" fontId="31" numFmtId="0" xfId="0" applyAlignment="1" applyBorder="1" applyFont="1">
      <alignment readingOrder="0" shrinkToFit="0" vertical="bottom" wrapText="0"/>
    </xf>
    <xf borderId="8" fillId="3" fontId="13" numFmtId="0" xfId="0" applyAlignment="1" applyBorder="1" applyFont="1">
      <alignment readingOrder="0" shrinkToFit="0" vertical="bottom" wrapText="0"/>
    </xf>
    <xf borderId="7" fillId="4" fontId="8" numFmtId="4" xfId="0" applyAlignment="1" applyBorder="1" applyFont="1" applyNumberFormat="1">
      <alignment horizontal="right" readingOrder="0" shrinkToFit="0" vertical="bottom" wrapText="0"/>
    </xf>
    <xf borderId="7" fillId="4" fontId="8" numFmtId="0" xfId="0" applyAlignment="1" applyBorder="1" applyFont="1">
      <alignment horizontal="right" readingOrder="0" shrinkToFit="0" vertical="bottom" wrapText="0"/>
    </xf>
    <xf borderId="7" fillId="4" fontId="13" numFmtId="0" xfId="0" applyAlignment="1" applyBorder="1" applyFont="1">
      <alignment horizontal="right" readingOrder="0" shrinkToFit="0" vertical="bottom" wrapText="0"/>
    </xf>
    <xf borderId="9" fillId="3" fontId="8" numFmtId="0" xfId="0" applyAlignment="1" applyBorder="1" applyFont="1">
      <alignment shrinkToFit="0" vertical="bottom" wrapText="0"/>
    </xf>
    <xf borderId="11" fillId="4" fontId="8" numFmtId="0" xfId="0" applyAlignment="1" applyBorder="1" applyFont="1">
      <alignment shrinkToFit="0" vertical="bottom" wrapText="0"/>
    </xf>
    <xf borderId="9" fillId="3" fontId="13" numFmtId="0" xfId="0" applyAlignment="1" applyBorder="1" applyFont="1">
      <alignment readingOrder="0" shrinkToFit="0" vertical="bottom" wrapText="0"/>
    </xf>
    <xf borderId="11" fillId="4" fontId="13" numFmtId="170" xfId="0" applyAlignment="1" applyBorder="1" applyFont="1" applyNumberFormat="1">
      <alignment horizontal="right" readingOrder="0" shrinkToFit="0" vertical="bottom" wrapText="0"/>
    </xf>
    <xf borderId="1" fillId="0" fontId="31" numFmtId="0" xfId="0" applyAlignment="1" applyBorder="1" applyFont="1">
      <alignment shrinkToFit="0" vertical="bottom" wrapText="0"/>
    </xf>
    <xf borderId="1" fillId="0" fontId="31" numFmtId="165" xfId="0" applyAlignment="1" applyBorder="1" applyFont="1" applyNumberFormat="1">
      <alignment horizontal="right" readingOrder="0" shrinkToFit="0" vertical="bottom" wrapText="0"/>
    </xf>
    <xf borderId="4" fillId="0" fontId="31" numFmtId="0" xfId="0" applyAlignment="1" applyBorder="1" applyFont="1">
      <alignment readingOrder="0" shrinkToFit="0" vertical="bottom" wrapText="0"/>
    </xf>
    <xf borderId="11" fillId="4" fontId="13" numFmtId="170" xfId="0" applyAlignment="1" applyBorder="1" applyFont="1" applyNumberFormat="1">
      <alignment horizontal="right" readingOrder="0" shrinkToFit="0" vertical="bottom" wrapText="0"/>
    </xf>
    <xf borderId="21" fillId="6" fontId="44" numFmtId="0" xfId="0" applyAlignment="1" applyBorder="1" applyFont="1">
      <alignment horizontal="center" readingOrder="0" shrinkToFit="0" wrapText="0"/>
    </xf>
    <xf borderId="1" fillId="12" fontId="31" numFmtId="0" xfId="0" applyAlignment="1" applyBorder="1" applyFill="1" applyFont="1">
      <alignment horizontal="center" readingOrder="0" shrinkToFit="0" vertical="bottom" wrapText="0"/>
    </xf>
    <xf borderId="2" fillId="12" fontId="31" numFmtId="0" xfId="0" applyAlignment="1" applyBorder="1" applyFont="1">
      <alignment horizontal="center" readingOrder="0" shrinkToFit="0" vertical="bottom" wrapText="0"/>
    </xf>
    <xf borderId="6" fillId="13" fontId="42" numFmtId="0" xfId="0" applyAlignment="1" applyBorder="1" applyFill="1" applyFont="1">
      <alignment readingOrder="0" shrinkToFit="0" vertical="bottom" wrapText="0"/>
    </xf>
    <xf borderId="8" fillId="13" fontId="42" numFmtId="0" xfId="0" applyAlignment="1" applyBorder="1" applyFont="1">
      <alignment horizontal="center" readingOrder="0" shrinkToFit="0" vertical="bottom" wrapText="0"/>
    </xf>
    <xf borderId="1" fillId="14" fontId="42" numFmtId="0" xfId="0" applyAlignment="1" applyBorder="1" applyFill="1" applyFont="1">
      <alignment readingOrder="0" shrinkToFit="0" vertical="bottom" wrapText="0"/>
    </xf>
    <xf borderId="1" fillId="14" fontId="43" numFmtId="0" xfId="0" applyAlignment="1" applyBorder="1" applyFont="1">
      <alignment horizontal="right" readingOrder="0" shrinkToFit="0" vertical="bottom" wrapText="0"/>
    </xf>
    <xf borderId="1" fillId="14" fontId="42" numFmtId="0" xfId="0" applyAlignment="1" applyBorder="1" applyFont="1">
      <alignment horizontal="right" readingOrder="0" shrinkToFit="0" vertical="bottom" wrapText="0"/>
    </xf>
    <xf borderId="1" fillId="14" fontId="42" numFmtId="4" xfId="0" applyAlignment="1" applyBorder="1" applyFont="1" applyNumberFormat="1">
      <alignment horizontal="right" readingOrder="0" shrinkToFit="0" vertical="bottom" wrapText="0"/>
    </xf>
    <xf borderId="6" fillId="3" fontId="42" numFmtId="0" xfId="0" applyAlignment="1" applyBorder="1" applyFont="1">
      <alignment readingOrder="0" shrinkToFit="0" vertical="bottom" wrapText="0"/>
    </xf>
    <xf borderId="6" fillId="3" fontId="42" numFmtId="0" xfId="0" applyAlignment="1" applyBorder="1" applyFont="1">
      <alignment horizontal="right" readingOrder="0" shrinkToFit="0" vertical="bottom" wrapText="0"/>
    </xf>
    <xf borderId="1" fillId="3" fontId="42" numFmtId="0" xfId="0" applyAlignment="1" applyBorder="1" applyFont="1">
      <alignment readingOrder="0" shrinkToFit="0" vertical="bottom" wrapText="0"/>
    </xf>
    <xf borderId="1" fillId="3" fontId="42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4</xdr:row>
      <xdr:rowOff>0</xdr:rowOff>
    </xdr:from>
    <xdr:ext cx="4876800" cy="4733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in.investing.com/rates-bonds/india-10-year-bond-yield-historical-data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10" max="10" width="39.88"/>
    <col customWidth="1" min="16" max="16" width="39.38"/>
    <col customWidth="1" min="22" max="22" width="42.5"/>
  </cols>
  <sheetData>
    <row r="1">
      <c r="B1" s="1" t="s">
        <v>0</v>
      </c>
      <c r="J1" s="2" t="s">
        <v>1</v>
      </c>
      <c r="P1" s="2" t="s">
        <v>2</v>
      </c>
      <c r="V1" s="3" t="s">
        <v>3</v>
      </c>
    </row>
    <row r="2">
      <c r="B2" s="4" t="s">
        <v>4</v>
      </c>
      <c r="C2" s="5" t="s">
        <v>5</v>
      </c>
      <c r="D2" s="6"/>
      <c r="E2" s="6"/>
      <c r="F2" s="7"/>
      <c r="G2" s="8"/>
    </row>
    <row r="3">
      <c r="B3" s="8"/>
      <c r="C3" s="9">
        <v>45741.0</v>
      </c>
      <c r="D3" s="9">
        <v>45740.0</v>
      </c>
      <c r="E3" s="9">
        <v>45739.0</v>
      </c>
      <c r="F3" s="9">
        <v>45738.0</v>
      </c>
      <c r="G3" s="9">
        <v>45737.0</v>
      </c>
      <c r="J3" s="10"/>
      <c r="K3" s="10"/>
      <c r="L3" s="11" t="s">
        <v>6</v>
      </c>
      <c r="M3" s="6"/>
      <c r="N3" s="7"/>
      <c r="P3" s="10"/>
      <c r="Q3" s="10"/>
      <c r="R3" s="11" t="s">
        <v>6</v>
      </c>
      <c r="S3" s="6"/>
      <c r="T3" s="7"/>
      <c r="V3" s="12"/>
      <c r="W3" s="12"/>
      <c r="X3" s="13" t="s">
        <v>6</v>
      </c>
      <c r="Y3" s="6"/>
      <c r="Z3" s="7"/>
    </row>
    <row r="4">
      <c r="B4" s="8"/>
      <c r="C4" s="14" t="s">
        <v>7</v>
      </c>
      <c r="D4" s="14" t="s">
        <v>7</v>
      </c>
      <c r="E4" s="14" t="s">
        <v>7</v>
      </c>
      <c r="F4" s="14" t="s">
        <v>7</v>
      </c>
      <c r="G4" s="14" t="s">
        <v>7</v>
      </c>
      <c r="J4" s="15"/>
      <c r="K4" s="16"/>
      <c r="L4" s="17">
        <v>45741.0</v>
      </c>
      <c r="M4" s="18">
        <v>45740.0</v>
      </c>
      <c r="N4" s="18">
        <v>45739.0</v>
      </c>
      <c r="P4" s="15"/>
      <c r="Q4" s="19"/>
      <c r="R4" s="20">
        <v>45741.0</v>
      </c>
      <c r="S4" s="21">
        <v>45740.0</v>
      </c>
      <c r="T4" s="21">
        <v>45739.0</v>
      </c>
      <c r="V4" s="22"/>
      <c r="W4" s="23"/>
      <c r="X4" s="24">
        <v>45741.0</v>
      </c>
      <c r="Y4" s="25">
        <v>45740.0</v>
      </c>
      <c r="Z4" s="25">
        <v>45739.0</v>
      </c>
    </row>
    <row r="5">
      <c r="B5" s="8"/>
      <c r="C5" s="8"/>
      <c r="D5" s="8"/>
      <c r="E5" s="8"/>
      <c r="F5" s="8"/>
      <c r="G5" s="8"/>
      <c r="J5" s="26" t="s">
        <v>8</v>
      </c>
      <c r="K5" s="27"/>
      <c r="L5" s="28"/>
      <c r="M5" s="28"/>
      <c r="N5" s="28"/>
      <c r="P5" s="29" t="s">
        <v>9</v>
      </c>
      <c r="Q5" s="19"/>
      <c r="R5" s="30"/>
      <c r="S5" s="30"/>
      <c r="T5" s="30"/>
      <c r="V5" s="31" t="s">
        <v>9</v>
      </c>
      <c r="W5" s="23"/>
      <c r="X5" s="23"/>
      <c r="Y5" s="23"/>
      <c r="Z5" s="23"/>
    </row>
    <row r="6">
      <c r="B6" s="32" t="s">
        <v>10</v>
      </c>
      <c r="C6" s="8"/>
      <c r="D6" s="8"/>
      <c r="E6" s="8"/>
      <c r="F6" s="8"/>
      <c r="G6" s="8"/>
      <c r="J6" s="33" t="s">
        <v>11</v>
      </c>
      <c r="K6" s="19"/>
      <c r="L6" s="34">
        <v>319.56</v>
      </c>
      <c r="M6" s="34">
        <v>319.56</v>
      </c>
      <c r="N6" s="34">
        <v>319.56</v>
      </c>
      <c r="P6" s="33" t="s">
        <v>11</v>
      </c>
      <c r="Q6" s="19"/>
      <c r="R6" s="35">
        <f t="shared" ref="R6:T6" si="1">L6/L48</f>
        <v>0.00203932445</v>
      </c>
      <c r="S6" s="35">
        <f t="shared" si="1"/>
        <v>0.002290057463</v>
      </c>
      <c r="T6" s="35">
        <f t="shared" si="1"/>
        <v>0.002489997272</v>
      </c>
      <c r="V6" s="36" t="s">
        <v>11</v>
      </c>
      <c r="W6" s="23"/>
      <c r="X6" s="37">
        <f t="shared" ref="X6:Y6" si="2">(L6-M6)/M6</f>
        <v>0</v>
      </c>
      <c r="Y6" s="37">
        <f t="shared" si="2"/>
        <v>0</v>
      </c>
      <c r="Z6" s="37"/>
    </row>
    <row r="7">
      <c r="B7" s="32" t="s">
        <v>12</v>
      </c>
      <c r="C7" s="8"/>
      <c r="D7" s="8"/>
      <c r="E7" s="8"/>
      <c r="F7" s="8"/>
      <c r="G7" s="8"/>
      <c r="J7" s="33" t="s">
        <v>13</v>
      </c>
      <c r="K7" s="19"/>
      <c r="L7" s="38">
        <v>35521.11</v>
      </c>
      <c r="M7" s="38">
        <v>32035.73</v>
      </c>
      <c r="N7" s="38">
        <v>28467.87</v>
      </c>
      <c r="P7" s="33" t="s">
        <v>13</v>
      </c>
      <c r="Q7" s="19"/>
      <c r="R7" s="35">
        <f t="shared" ref="R7:T7" si="3">L7/L48</f>
        <v>0.226683778</v>
      </c>
      <c r="S7" s="35">
        <f t="shared" si="3"/>
        <v>0.229577114</v>
      </c>
      <c r="T7" s="35">
        <f t="shared" si="3"/>
        <v>0.2218203738</v>
      </c>
      <c r="V7" s="36" t="s">
        <v>13</v>
      </c>
      <c r="W7" s="23"/>
      <c r="X7" s="37">
        <f t="shared" ref="X7:Y7" si="4">(L7-M7)/M7</f>
        <v>0.1087966467</v>
      </c>
      <c r="Y7" s="37">
        <f t="shared" si="4"/>
        <v>0.1253293625</v>
      </c>
      <c r="Z7" s="37"/>
    </row>
    <row r="8">
      <c r="B8" s="39" t="s">
        <v>14</v>
      </c>
      <c r="C8" s="40">
        <v>319.56</v>
      </c>
      <c r="D8" s="40">
        <v>319.56</v>
      </c>
      <c r="E8" s="40">
        <v>319.56</v>
      </c>
      <c r="F8" s="40">
        <v>319.56</v>
      </c>
      <c r="G8" s="40">
        <v>319.56</v>
      </c>
      <c r="J8" s="33" t="s">
        <v>15</v>
      </c>
      <c r="K8" s="19"/>
      <c r="L8" s="41">
        <f t="shared" ref="L8:N8" si="5">(L6+L7)</f>
        <v>35840.67</v>
      </c>
      <c r="M8" s="41">
        <f t="shared" si="5"/>
        <v>32355.29</v>
      </c>
      <c r="N8" s="41">
        <f t="shared" si="5"/>
        <v>28787.43</v>
      </c>
      <c r="P8" s="33" t="s">
        <v>15</v>
      </c>
      <c r="Q8" s="19"/>
      <c r="R8" s="35">
        <f t="shared" ref="R8:T8" si="6">L8/L48</f>
        <v>0.2287231025</v>
      </c>
      <c r="S8" s="35">
        <f t="shared" si="6"/>
        <v>0.2318671715</v>
      </c>
      <c r="T8" s="35">
        <f t="shared" si="6"/>
        <v>0.224310371</v>
      </c>
      <c r="V8" s="36" t="s">
        <v>15</v>
      </c>
      <c r="W8" s="23"/>
      <c r="X8" s="37">
        <f t="shared" ref="X8:Y8" si="7">(L8-M8)/M8</f>
        <v>0.1077221066</v>
      </c>
      <c r="Y8" s="37">
        <f t="shared" si="7"/>
        <v>0.1239381216</v>
      </c>
      <c r="Z8" s="37"/>
    </row>
    <row r="9">
      <c r="B9" s="42" t="s">
        <v>16</v>
      </c>
      <c r="C9" s="43">
        <v>319.56</v>
      </c>
      <c r="D9" s="43">
        <v>319.56</v>
      </c>
      <c r="E9" s="43">
        <v>319.56</v>
      </c>
      <c r="F9" s="43">
        <v>319.56</v>
      </c>
      <c r="G9" s="43">
        <v>319.56</v>
      </c>
      <c r="J9" s="44"/>
      <c r="K9" s="19"/>
      <c r="L9" s="19"/>
      <c r="M9" s="19"/>
      <c r="N9" s="19"/>
      <c r="P9" s="44"/>
      <c r="Q9" s="19"/>
      <c r="R9" s="19"/>
      <c r="S9" s="19"/>
      <c r="T9" s="19"/>
      <c r="V9" s="45"/>
      <c r="W9" s="23"/>
      <c r="X9" s="23"/>
      <c r="Y9" s="23"/>
      <c r="Z9" s="23"/>
    </row>
    <row r="10">
      <c r="B10" s="39" t="s">
        <v>17</v>
      </c>
      <c r="C10" s="46">
        <v>35521.11</v>
      </c>
      <c r="D10" s="46">
        <v>32035.73</v>
      </c>
      <c r="E10" s="46">
        <v>28467.87</v>
      </c>
      <c r="F10" s="46">
        <v>22122.0</v>
      </c>
      <c r="G10" s="46">
        <v>20502.7</v>
      </c>
      <c r="J10" s="29" t="s">
        <v>18</v>
      </c>
      <c r="K10" s="19"/>
      <c r="L10" s="19"/>
      <c r="M10" s="19"/>
      <c r="N10" s="19"/>
      <c r="P10" s="47" t="s">
        <v>18</v>
      </c>
      <c r="Q10" s="19"/>
      <c r="R10" s="19"/>
      <c r="S10" s="19"/>
      <c r="T10" s="19"/>
      <c r="V10" s="31" t="s">
        <v>18</v>
      </c>
      <c r="W10" s="23"/>
      <c r="X10" s="23"/>
      <c r="Y10" s="23"/>
      <c r="Z10" s="23"/>
    </row>
    <row r="11">
      <c r="B11" s="42" t="s">
        <v>19</v>
      </c>
      <c r="C11" s="48">
        <v>35521.11</v>
      </c>
      <c r="D11" s="48">
        <v>32035.73</v>
      </c>
      <c r="E11" s="48">
        <v>28467.87</v>
      </c>
      <c r="F11" s="48">
        <v>22122.0</v>
      </c>
      <c r="G11" s="48">
        <v>20502.7</v>
      </c>
      <c r="J11" s="33" t="s">
        <v>20</v>
      </c>
      <c r="K11" s="19"/>
      <c r="L11" s="46">
        <v>44129.72</v>
      </c>
      <c r="M11" s="46">
        <v>37392.25</v>
      </c>
      <c r="N11" s="46">
        <v>30708.49</v>
      </c>
      <c r="P11" s="33" t="s">
        <v>20</v>
      </c>
      <c r="Q11" s="19"/>
      <c r="R11" s="35">
        <f t="shared" ref="R11:T11" si="8">L11/L48</f>
        <v>0.2816210319</v>
      </c>
      <c r="S11" s="35">
        <f t="shared" si="8"/>
        <v>0.2679634534</v>
      </c>
      <c r="T11" s="35">
        <f t="shared" si="8"/>
        <v>0.2392791849</v>
      </c>
      <c r="V11" s="36" t="s">
        <v>20</v>
      </c>
      <c r="W11" s="23"/>
      <c r="X11" s="37">
        <f t="shared" ref="X11:Y11" si="9">(L11-M11)/M11</f>
        <v>0.1801835942</v>
      </c>
      <c r="Y11" s="37">
        <f t="shared" si="9"/>
        <v>0.2176518611</v>
      </c>
      <c r="Z11" s="37"/>
    </row>
    <row r="12">
      <c r="B12" s="42" t="s">
        <v>21</v>
      </c>
      <c r="C12" s="48">
        <v>35840.67</v>
      </c>
      <c r="D12" s="48">
        <v>32355.29</v>
      </c>
      <c r="E12" s="48">
        <v>28787.43</v>
      </c>
      <c r="F12" s="48">
        <v>22441.56</v>
      </c>
      <c r="G12" s="48">
        <v>20822.26</v>
      </c>
      <c r="J12" s="33" t="s">
        <v>22</v>
      </c>
      <c r="K12" s="19"/>
      <c r="L12" s="38">
        <v>4104.12</v>
      </c>
      <c r="M12" s="38">
        <v>2772.33</v>
      </c>
      <c r="N12" s="38">
        <v>1919.37</v>
      </c>
      <c r="P12" s="33" t="s">
        <v>22</v>
      </c>
      <c r="Q12" s="19"/>
      <c r="R12" s="35">
        <f t="shared" ref="R12:T12" si="10">L12/L48</f>
        <v>0.0261911136</v>
      </c>
      <c r="S12" s="35">
        <f t="shared" si="10"/>
        <v>0.01986730193</v>
      </c>
      <c r="T12" s="35">
        <f t="shared" si="10"/>
        <v>0.01495564546</v>
      </c>
      <c r="V12" s="36" t="s">
        <v>22</v>
      </c>
      <c r="W12" s="23"/>
      <c r="X12" s="37">
        <f t="shared" ref="X12:Y12" si="11">(L12-M12)/M12</f>
        <v>0.4803865341</v>
      </c>
      <c r="Y12" s="37">
        <f t="shared" si="11"/>
        <v>0.4443958174</v>
      </c>
      <c r="Z12" s="37"/>
    </row>
    <row r="13">
      <c r="B13" s="39" t="s">
        <v>23</v>
      </c>
      <c r="C13" s="40">
        <v>0.0</v>
      </c>
      <c r="D13" s="40">
        <v>0.0</v>
      </c>
      <c r="E13" s="40">
        <v>0.0</v>
      </c>
      <c r="F13" s="40">
        <v>0.0</v>
      </c>
      <c r="G13" s="46">
        <v>1500.0</v>
      </c>
      <c r="J13" s="33" t="s">
        <v>24</v>
      </c>
      <c r="K13" s="19"/>
      <c r="L13" s="38">
        <v>17800.9</v>
      </c>
      <c r="M13" s="38">
        <v>17223.11</v>
      </c>
      <c r="N13" s="38">
        <v>14768.92</v>
      </c>
      <c r="P13" s="33" t="s">
        <v>24</v>
      </c>
      <c r="Q13" s="19"/>
      <c r="R13" s="35">
        <f t="shared" ref="R13:T13" si="12">L13/L48</f>
        <v>0.1135993572</v>
      </c>
      <c r="S13" s="35">
        <f t="shared" si="12"/>
        <v>0.123425684</v>
      </c>
      <c r="T13" s="35">
        <f t="shared" si="12"/>
        <v>0.1150787662</v>
      </c>
      <c r="V13" s="36" t="s">
        <v>24</v>
      </c>
      <c r="W13" s="23"/>
      <c r="X13" s="37">
        <f t="shared" ref="X13:Y13" si="13">(L13-M13)/M13</f>
        <v>0.03354736746</v>
      </c>
      <c r="Y13" s="37">
        <f t="shared" si="13"/>
        <v>0.1661726111</v>
      </c>
      <c r="Z13" s="37"/>
    </row>
    <row r="14">
      <c r="B14" s="39" t="s">
        <v>25</v>
      </c>
      <c r="C14" s="46">
        <v>6765.37</v>
      </c>
      <c r="D14" s="46">
        <v>5977.48</v>
      </c>
      <c r="E14" s="46">
        <v>5416.69</v>
      </c>
      <c r="F14" s="46">
        <v>3586.9</v>
      </c>
      <c r="G14" s="46">
        <v>2927.3</v>
      </c>
      <c r="J14" s="33" t="s">
        <v>26</v>
      </c>
      <c r="K14" s="19"/>
      <c r="L14" s="38">
        <v>2548.69</v>
      </c>
      <c r="M14" s="38">
        <v>1865.08</v>
      </c>
      <c r="N14" s="38">
        <v>1420.02</v>
      </c>
      <c r="P14" s="33" t="s">
        <v>26</v>
      </c>
      <c r="Q14" s="19"/>
      <c r="R14" s="35">
        <f t="shared" ref="R14:T14" si="14">L14/L48</f>
        <v>0.01626488244</v>
      </c>
      <c r="S14" s="35">
        <f t="shared" si="14"/>
        <v>0.01336569149</v>
      </c>
      <c r="T14" s="35">
        <f t="shared" si="14"/>
        <v>0.01106473253</v>
      </c>
      <c r="V14" s="36" t="s">
        <v>26</v>
      </c>
      <c r="W14" s="23"/>
      <c r="X14" s="37">
        <f t="shared" ref="X14:Y14" si="15">(L14-M14)/M14</f>
        <v>0.3665311944</v>
      </c>
      <c r="Y14" s="37">
        <f t="shared" si="15"/>
        <v>0.3134181209</v>
      </c>
      <c r="Z14" s="37"/>
    </row>
    <row r="15">
      <c r="B15" s="32" t="s">
        <v>27</v>
      </c>
      <c r="C15" s="8"/>
      <c r="D15" s="8"/>
      <c r="E15" s="8"/>
      <c r="F15" s="8"/>
      <c r="G15" s="8"/>
      <c r="J15" s="33" t="s">
        <v>28</v>
      </c>
      <c r="K15" s="19"/>
      <c r="L15" s="38">
        <v>68583.43</v>
      </c>
      <c r="M15" s="38">
        <v>59252.77</v>
      </c>
      <c r="N15" s="38">
        <v>48816.8</v>
      </c>
      <c r="P15" s="33" t="s">
        <v>28</v>
      </c>
      <c r="Q15" s="19"/>
      <c r="R15" s="35">
        <f t="shared" ref="R15:T15" si="16">L15/L48</f>
        <v>0.4376763852</v>
      </c>
      <c r="S15" s="35">
        <f t="shared" si="16"/>
        <v>0.4246221308</v>
      </c>
      <c r="T15" s="35">
        <f t="shared" si="16"/>
        <v>0.380378329</v>
      </c>
      <c r="V15" s="36" t="s">
        <v>28</v>
      </c>
      <c r="W15" s="23"/>
      <c r="X15" s="37">
        <f t="shared" ref="X15:Y15" si="17">(L15-M15)/M15</f>
        <v>0.1574721317</v>
      </c>
      <c r="Y15" s="37">
        <f t="shared" si="17"/>
        <v>0.2137782485</v>
      </c>
      <c r="Z15" s="37"/>
    </row>
    <row r="16">
      <c r="B16" s="39" t="s">
        <v>29</v>
      </c>
      <c r="C16" s="46">
        <v>44129.72</v>
      </c>
      <c r="D16" s="46">
        <v>37392.25</v>
      </c>
      <c r="E16" s="46">
        <v>30708.49</v>
      </c>
      <c r="F16" s="46">
        <v>32729.7</v>
      </c>
      <c r="G16" s="46">
        <v>30045.03</v>
      </c>
      <c r="J16" s="44"/>
      <c r="K16" s="19"/>
      <c r="L16" s="19"/>
      <c r="M16" s="19"/>
      <c r="N16" s="19"/>
      <c r="P16" s="44"/>
      <c r="Q16" s="19"/>
      <c r="R16" s="19"/>
      <c r="S16" s="19"/>
      <c r="T16" s="19"/>
      <c r="V16" s="45"/>
      <c r="W16" s="23"/>
      <c r="X16" s="23"/>
      <c r="Y16" s="23"/>
      <c r="Z16" s="23"/>
    </row>
    <row r="17">
      <c r="B17" s="39" t="s">
        <v>30</v>
      </c>
      <c r="C17" s="46">
        <v>4104.12</v>
      </c>
      <c r="D17" s="46">
        <v>2772.33</v>
      </c>
      <c r="E17" s="46">
        <v>1919.37</v>
      </c>
      <c r="F17" s="46">
        <v>1033.3</v>
      </c>
      <c r="G17" s="40">
        <v>976.15</v>
      </c>
      <c r="J17" s="47" t="s">
        <v>31</v>
      </c>
      <c r="K17" s="19"/>
      <c r="L17" s="19"/>
      <c r="M17" s="19"/>
      <c r="N17" s="19"/>
      <c r="P17" s="47" t="s">
        <v>31</v>
      </c>
      <c r="Q17" s="19"/>
      <c r="R17" s="35"/>
      <c r="S17" s="35"/>
      <c r="T17" s="35"/>
      <c r="V17" s="31" t="s">
        <v>31</v>
      </c>
      <c r="W17" s="23"/>
      <c r="X17" s="37"/>
      <c r="Y17" s="37"/>
      <c r="Z17" s="37"/>
    </row>
    <row r="18">
      <c r="B18" s="39" t="s">
        <v>32</v>
      </c>
      <c r="C18" s="46">
        <v>17800.9</v>
      </c>
      <c r="D18" s="46">
        <v>17223.11</v>
      </c>
      <c r="E18" s="46">
        <v>14768.92</v>
      </c>
      <c r="F18" s="46">
        <v>12506.67</v>
      </c>
      <c r="G18" s="46">
        <v>10771.81</v>
      </c>
      <c r="J18" s="33" t="s">
        <v>33</v>
      </c>
      <c r="K18" s="19"/>
      <c r="L18" s="38">
        <v>14015.84</v>
      </c>
      <c r="M18" s="38">
        <v>12087.56</v>
      </c>
      <c r="N18" s="38">
        <v>18265.94</v>
      </c>
      <c r="P18" s="33" t="s">
        <v>33</v>
      </c>
      <c r="Q18" s="19"/>
      <c r="R18" s="35">
        <f t="shared" ref="R18:T18" si="18">L18/L48</f>
        <v>0.08944437726</v>
      </c>
      <c r="S18" s="35">
        <f t="shared" si="18"/>
        <v>0.08662287829</v>
      </c>
      <c r="T18" s="35">
        <f t="shared" si="18"/>
        <v>0.1423273901</v>
      </c>
      <c r="V18" s="36" t="s">
        <v>33</v>
      </c>
      <c r="W18" s="23"/>
      <c r="X18" s="37">
        <f t="shared" ref="X18:Y18" si="19">(L18-M18)/M18</f>
        <v>0.159525992</v>
      </c>
      <c r="Y18" s="37">
        <f t="shared" si="19"/>
        <v>-0.3382459375</v>
      </c>
      <c r="Z18" s="37"/>
    </row>
    <row r="19">
      <c r="B19" s="39" t="s">
        <v>34</v>
      </c>
      <c r="C19" s="46">
        <v>2548.69</v>
      </c>
      <c r="D19" s="46">
        <v>1865.08</v>
      </c>
      <c r="E19" s="46">
        <v>1420.02</v>
      </c>
      <c r="F19" s="46">
        <v>1218.18</v>
      </c>
      <c r="G19" s="40">
        <v>839.58</v>
      </c>
      <c r="J19" s="33" t="s">
        <v>35</v>
      </c>
      <c r="K19" s="19"/>
      <c r="L19" s="38">
        <v>8854.55</v>
      </c>
      <c r="M19" s="38">
        <v>9321.37</v>
      </c>
      <c r="N19" s="38">
        <v>7407.2</v>
      </c>
      <c r="P19" s="33" t="s">
        <v>35</v>
      </c>
      <c r="Q19" s="19"/>
      <c r="R19" s="35">
        <f t="shared" ref="R19:T19" si="20">L19/L48</f>
        <v>0.05650676026</v>
      </c>
      <c r="S19" s="35">
        <f t="shared" si="20"/>
        <v>0.06679957733</v>
      </c>
      <c r="T19" s="35">
        <f t="shared" si="20"/>
        <v>0.05771657214</v>
      </c>
      <c r="V19" s="36" t="s">
        <v>35</v>
      </c>
      <c r="W19" s="23"/>
      <c r="X19" s="37">
        <f t="shared" ref="X19:Y19" si="21">(L19-M19)/M19</f>
        <v>-0.0500806212</v>
      </c>
      <c r="Y19" s="37">
        <f t="shared" si="21"/>
        <v>0.2584201858</v>
      </c>
      <c r="Z19" s="37"/>
    </row>
    <row r="20">
      <c r="B20" s="42" t="s">
        <v>28</v>
      </c>
      <c r="C20" s="48">
        <v>68583.43</v>
      </c>
      <c r="D20" s="48">
        <v>59252.77</v>
      </c>
      <c r="E20" s="48">
        <v>48816.8</v>
      </c>
      <c r="F20" s="48">
        <v>47487.85</v>
      </c>
      <c r="G20" s="48">
        <v>42632.57</v>
      </c>
      <c r="J20" s="33" t="s">
        <v>36</v>
      </c>
      <c r="K20" s="19"/>
      <c r="L20" s="38">
        <v>22213.87</v>
      </c>
      <c r="M20" s="38">
        <v>20264.68</v>
      </c>
      <c r="N20" s="38">
        <v>19343.91</v>
      </c>
      <c r="P20" s="33" t="s">
        <v>36</v>
      </c>
      <c r="Q20" s="19"/>
      <c r="R20" s="35">
        <f t="shared" ref="R20:T20" si="22">L20/L48</f>
        <v>0.1417614477</v>
      </c>
      <c r="S20" s="35">
        <f t="shared" si="22"/>
        <v>0.1452224361</v>
      </c>
      <c r="T20" s="35">
        <f t="shared" si="22"/>
        <v>0.1507268842</v>
      </c>
      <c r="V20" s="36" t="s">
        <v>36</v>
      </c>
      <c r="W20" s="23"/>
      <c r="X20" s="37">
        <f t="shared" ref="X20:Y20" si="23">(L20-M20)/M20</f>
        <v>0.09618656697</v>
      </c>
      <c r="Y20" s="37">
        <f t="shared" si="23"/>
        <v>0.047599994</v>
      </c>
      <c r="Z20" s="37"/>
    </row>
    <row r="21">
      <c r="B21" s="32" t="s">
        <v>37</v>
      </c>
      <c r="C21" s="8"/>
      <c r="D21" s="8"/>
      <c r="E21" s="8"/>
      <c r="F21" s="8"/>
      <c r="G21" s="8"/>
      <c r="J21" s="33" t="s">
        <v>38</v>
      </c>
      <c r="K21" s="19"/>
      <c r="L21" s="34">
        <v>437.56</v>
      </c>
      <c r="M21" s="34">
        <v>294.34</v>
      </c>
      <c r="N21" s="34">
        <v>311.07</v>
      </c>
      <c r="P21" s="33" t="s">
        <v>38</v>
      </c>
      <c r="Q21" s="19"/>
      <c r="R21" s="35">
        <f t="shared" ref="R21:T21" si="24">L21/L48</f>
        <v>0.002792360766</v>
      </c>
      <c r="S21" s="35">
        <f t="shared" si="24"/>
        <v>0.0021093238</v>
      </c>
      <c r="T21" s="35">
        <f t="shared" si="24"/>
        <v>0.002423843571</v>
      </c>
      <c r="V21" s="36" t="s">
        <v>38</v>
      </c>
      <c r="W21" s="23"/>
      <c r="X21" s="37">
        <f t="shared" ref="X21:Y21" si="25">(L21-M21)/M21</f>
        <v>0.4865801454</v>
      </c>
      <c r="Y21" s="37">
        <f t="shared" si="25"/>
        <v>-0.05378210692</v>
      </c>
      <c r="Z21" s="37"/>
    </row>
    <row r="22">
      <c r="B22" s="39" t="s">
        <v>39</v>
      </c>
      <c r="C22" s="46">
        <v>14015.84</v>
      </c>
      <c r="D22" s="46">
        <v>12087.56</v>
      </c>
      <c r="E22" s="46">
        <v>18265.94</v>
      </c>
      <c r="F22" s="46">
        <v>14860.3</v>
      </c>
      <c r="G22" s="46">
        <v>8436.21</v>
      </c>
      <c r="J22" s="33" t="s">
        <v>40</v>
      </c>
      <c r="K22" s="19"/>
      <c r="L22" s="38">
        <v>45521.82</v>
      </c>
      <c r="M22" s="38">
        <v>41967.95</v>
      </c>
      <c r="N22" s="38">
        <v>45328.12</v>
      </c>
      <c r="P22" s="33" t="s">
        <v>40</v>
      </c>
      <c r="Q22" s="19"/>
      <c r="R22" s="35">
        <f t="shared" ref="R22:T22" si="26">L22/L48</f>
        <v>0.2905049459</v>
      </c>
      <c r="S22" s="35">
        <f t="shared" si="26"/>
        <v>0.3007542155</v>
      </c>
      <c r="T22" s="35">
        <f t="shared" si="26"/>
        <v>0.35319469</v>
      </c>
      <c r="V22" s="36" t="s">
        <v>40</v>
      </c>
      <c r="W22" s="23"/>
      <c r="X22" s="37">
        <f t="shared" ref="X22:Y22" si="27">(L22-M22)/M22</f>
        <v>0.08468057172</v>
      </c>
      <c r="Y22" s="37">
        <f t="shared" si="27"/>
        <v>-0.074129922</v>
      </c>
      <c r="Z22" s="37"/>
    </row>
    <row r="23">
      <c r="B23" s="39" t="s">
        <v>35</v>
      </c>
      <c r="C23" s="46">
        <v>8854.55</v>
      </c>
      <c r="D23" s="46">
        <v>9321.37</v>
      </c>
      <c r="E23" s="46">
        <v>7407.2</v>
      </c>
      <c r="F23" s="46">
        <v>10459.6</v>
      </c>
      <c r="G23" s="46">
        <v>7120.08</v>
      </c>
      <c r="J23" s="44"/>
      <c r="K23" s="19"/>
      <c r="L23" s="19"/>
      <c r="M23" s="19"/>
      <c r="N23" s="19"/>
      <c r="P23" s="44"/>
      <c r="Q23" s="19"/>
      <c r="R23" s="19"/>
      <c r="S23" s="19"/>
      <c r="T23" s="19"/>
      <c r="V23" s="45"/>
      <c r="W23" s="23"/>
      <c r="X23" s="23"/>
      <c r="Y23" s="23"/>
      <c r="Z23" s="23"/>
    </row>
    <row r="24">
      <c r="B24" s="39" t="s">
        <v>41</v>
      </c>
      <c r="C24" s="46">
        <v>22213.87</v>
      </c>
      <c r="D24" s="46">
        <v>20264.68</v>
      </c>
      <c r="E24" s="46">
        <v>19343.91</v>
      </c>
      <c r="F24" s="46">
        <v>13703.56</v>
      </c>
      <c r="G24" s="46">
        <v>15142.7</v>
      </c>
      <c r="J24" s="47" t="s">
        <v>42</v>
      </c>
      <c r="K24" s="19"/>
      <c r="L24" s="38">
        <f t="shared" ref="L24:N24" si="28">L8+L15+L22</f>
        <v>149945.92</v>
      </c>
      <c r="M24" s="38">
        <f t="shared" si="28"/>
        <v>133576.01</v>
      </c>
      <c r="N24" s="38">
        <f t="shared" si="28"/>
        <v>122932.35</v>
      </c>
      <c r="P24" s="47" t="s">
        <v>42</v>
      </c>
      <c r="Q24" s="19"/>
      <c r="R24" s="35">
        <f t="shared" ref="R24:T24" si="29">L24/L48</f>
        <v>0.9569044336</v>
      </c>
      <c r="S24" s="35">
        <f t="shared" si="29"/>
        <v>0.9572435178</v>
      </c>
      <c r="T24" s="35">
        <f t="shared" si="29"/>
        <v>0.9578833901</v>
      </c>
      <c r="V24" s="31" t="s">
        <v>42</v>
      </c>
      <c r="W24" s="23"/>
      <c r="X24" s="37">
        <f t="shared" ref="X24:Y24" si="30">(L24-M24)/M24</f>
        <v>0.1225512725</v>
      </c>
      <c r="Y24" s="37">
        <f t="shared" si="30"/>
        <v>0.08658144093</v>
      </c>
      <c r="Z24" s="37"/>
    </row>
    <row r="25">
      <c r="B25" s="39" t="s">
        <v>43</v>
      </c>
      <c r="C25" s="40">
        <v>437.56</v>
      </c>
      <c r="D25" s="40">
        <v>294.34</v>
      </c>
      <c r="E25" s="40">
        <v>311.07</v>
      </c>
      <c r="F25" s="40">
        <v>344.82</v>
      </c>
      <c r="G25" s="40">
        <v>270.11</v>
      </c>
      <c r="J25" s="44"/>
      <c r="K25" s="19"/>
      <c r="L25" s="19"/>
      <c r="M25" s="19"/>
      <c r="N25" s="19"/>
      <c r="P25" s="44"/>
      <c r="Q25" s="19"/>
      <c r="R25" s="19"/>
      <c r="S25" s="19"/>
      <c r="T25" s="19"/>
      <c r="V25" s="45"/>
      <c r="W25" s="23"/>
      <c r="X25" s="23"/>
      <c r="Y25" s="23"/>
      <c r="Z25" s="23"/>
    </row>
    <row r="26">
      <c r="B26" s="42" t="s">
        <v>40</v>
      </c>
      <c r="C26" s="48">
        <v>45521.82</v>
      </c>
      <c r="D26" s="48">
        <v>41967.95</v>
      </c>
      <c r="E26" s="48">
        <v>45328.12</v>
      </c>
      <c r="F26" s="48">
        <v>39368.28</v>
      </c>
      <c r="G26" s="48">
        <v>30969.1</v>
      </c>
      <c r="J26" s="47" t="s">
        <v>44</v>
      </c>
      <c r="K26" s="19"/>
      <c r="L26" s="19"/>
      <c r="M26" s="19"/>
      <c r="N26" s="19"/>
      <c r="P26" s="49" t="s">
        <v>44</v>
      </c>
      <c r="Q26" s="19"/>
      <c r="R26" s="19"/>
      <c r="S26" s="19"/>
      <c r="T26" s="19"/>
      <c r="V26" s="50" t="s">
        <v>44</v>
      </c>
      <c r="W26" s="23"/>
      <c r="X26" s="23"/>
      <c r="Y26" s="23"/>
      <c r="Z26" s="23"/>
    </row>
    <row r="27">
      <c r="B27" s="42" t="s">
        <v>45</v>
      </c>
      <c r="C27" s="43" t="s">
        <v>46</v>
      </c>
      <c r="D27" s="43" t="s">
        <v>47</v>
      </c>
      <c r="E27" s="43" t="s">
        <v>48</v>
      </c>
      <c r="F27" s="43" t="s">
        <v>49</v>
      </c>
      <c r="G27" s="48">
        <v>98851.23</v>
      </c>
      <c r="I27" s="51"/>
      <c r="J27" s="52" t="s">
        <v>50</v>
      </c>
      <c r="K27" s="19"/>
      <c r="L27" s="19"/>
      <c r="M27" s="19"/>
      <c r="N27" s="19"/>
      <c r="P27" s="53" t="s">
        <v>50</v>
      </c>
      <c r="Q27" s="19"/>
      <c r="R27" s="19"/>
      <c r="S27" s="19"/>
      <c r="T27" s="19"/>
      <c r="V27" s="54" t="s">
        <v>50</v>
      </c>
      <c r="W27" s="23"/>
      <c r="X27" s="23"/>
      <c r="Y27" s="23"/>
      <c r="Z27" s="23"/>
    </row>
    <row r="28">
      <c r="B28" s="32" t="s">
        <v>51</v>
      </c>
      <c r="C28" s="8"/>
      <c r="D28" s="8"/>
      <c r="E28" s="8"/>
      <c r="F28" s="8"/>
      <c r="G28" s="8"/>
      <c r="J28" s="33" t="s">
        <v>52</v>
      </c>
      <c r="K28" s="19"/>
      <c r="L28" s="38">
        <v>75351.27</v>
      </c>
      <c r="M28" s="38">
        <v>63992.81</v>
      </c>
      <c r="N28" s="38">
        <v>58507.01</v>
      </c>
      <c r="P28" s="33" t="s">
        <v>52</v>
      </c>
      <c r="Q28" s="19"/>
      <c r="R28" s="35">
        <f t="shared" ref="R28:T28" si="31">L28/L48</f>
        <v>0.480866464</v>
      </c>
      <c r="S28" s="35">
        <f t="shared" si="31"/>
        <v>0.4585905999</v>
      </c>
      <c r="T28" s="35">
        <f t="shared" si="31"/>
        <v>0.4558840133</v>
      </c>
      <c r="V28" s="36" t="s">
        <v>52</v>
      </c>
      <c r="W28" s="23"/>
      <c r="X28" s="37">
        <f t="shared" ref="X28:Y28" si="32">(L28-M28)/M28</f>
        <v>0.1774958781</v>
      </c>
      <c r="Y28" s="37">
        <f t="shared" si="32"/>
        <v>0.09376312343</v>
      </c>
      <c r="Z28" s="37"/>
    </row>
    <row r="29">
      <c r="B29" s="32" t="s">
        <v>50</v>
      </c>
      <c r="C29" s="8"/>
      <c r="D29" s="8"/>
      <c r="E29" s="8"/>
      <c r="F29" s="8"/>
      <c r="G29" s="8"/>
      <c r="J29" s="33" t="s">
        <v>53</v>
      </c>
      <c r="K29" s="19"/>
      <c r="L29" s="38">
        <v>1371.7</v>
      </c>
      <c r="M29" s="38">
        <v>1459.29</v>
      </c>
      <c r="N29" s="38">
        <v>1381.34</v>
      </c>
      <c r="P29" s="33" t="s">
        <v>53</v>
      </c>
      <c r="Q29" s="19"/>
      <c r="R29" s="35">
        <f t="shared" ref="R29:T29" si="33">L29/L48</f>
        <v>0.008753728088</v>
      </c>
      <c r="S29" s="35">
        <f t="shared" si="33"/>
        <v>0.01045768543</v>
      </c>
      <c r="T29" s="35">
        <f t="shared" si="33"/>
        <v>0.01076333969</v>
      </c>
      <c r="V29" s="36" t="s">
        <v>53</v>
      </c>
      <c r="W29" s="23"/>
      <c r="X29" s="37">
        <f t="shared" ref="X29:Y29" si="34">(L29-M29)/M29</f>
        <v>-0.06002233963</v>
      </c>
      <c r="Y29" s="37">
        <f t="shared" si="34"/>
        <v>0.05643071221</v>
      </c>
      <c r="Z29" s="37"/>
    </row>
    <row r="30">
      <c r="B30" s="55" t="s">
        <v>54</v>
      </c>
      <c r="C30" s="46">
        <v>75351.27</v>
      </c>
      <c r="D30" s="46">
        <v>63992.81</v>
      </c>
      <c r="E30" s="46">
        <v>58507.01</v>
      </c>
      <c r="F30" s="46">
        <v>54164.95</v>
      </c>
      <c r="G30" s="46">
        <v>48748.86</v>
      </c>
      <c r="J30" s="33" t="s">
        <v>55</v>
      </c>
      <c r="K30" s="19"/>
      <c r="L30" s="38">
        <v>12678.87</v>
      </c>
      <c r="M30" s="38">
        <v>11561.31</v>
      </c>
      <c r="N30" s="38">
        <v>5376.36</v>
      </c>
      <c r="P30" s="33" t="s">
        <v>55</v>
      </c>
      <c r="Q30" s="19"/>
      <c r="R30" s="35">
        <f t="shared" ref="R30:T30" si="35">L30/L48</f>
        <v>0.08091228435</v>
      </c>
      <c r="S30" s="35">
        <f t="shared" si="35"/>
        <v>0.08285162175</v>
      </c>
      <c r="T30" s="35">
        <f t="shared" si="35"/>
        <v>0.04189235741</v>
      </c>
      <c r="V30" s="36" t="s">
        <v>55</v>
      </c>
      <c r="W30" s="23"/>
      <c r="X30" s="37">
        <f t="shared" ref="X30:Y30" si="36">(L30-M30)/M30</f>
        <v>0.09666378637</v>
      </c>
      <c r="Y30" s="37">
        <f t="shared" si="36"/>
        <v>1.150397295</v>
      </c>
      <c r="Z30" s="37"/>
    </row>
    <row r="31">
      <c r="B31" s="39" t="s">
        <v>56</v>
      </c>
      <c r="C31" s="46">
        <v>1371.7</v>
      </c>
      <c r="D31" s="46">
        <v>1459.29</v>
      </c>
      <c r="E31" s="46">
        <v>1381.34</v>
      </c>
      <c r="F31" s="46">
        <v>1366.18</v>
      </c>
      <c r="G31" s="46">
        <v>1345.85</v>
      </c>
      <c r="J31" s="44"/>
      <c r="K31" s="19"/>
      <c r="L31" s="19"/>
      <c r="M31" s="19"/>
      <c r="N31" s="19"/>
      <c r="P31" s="44"/>
      <c r="Q31" s="19"/>
      <c r="R31" s="19"/>
      <c r="S31" s="19"/>
      <c r="T31" s="19"/>
      <c r="V31" s="45"/>
      <c r="W31" s="23"/>
      <c r="X31" s="23"/>
      <c r="Y31" s="23"/>
      <c r="Z31" s="23"/>
    </row>
    <row r="32">
      <c r="B32" s="39" t="s">
        <v>57</v>
      </c>
      <c r="C32" s="46">
        <v>12678.87</v>
      </c>
      <c r="D32" s="46">
        <v>11561.31</v>
      </c>
      <c r="E32" s="46">
        <v>5376.36</v>
      </c>
      <c r="F32" s="46">
        <v>4635.1</v>
      </c>
      <c r="G32" s="46">
        <v>3599.8</v>
      </c>
      <c r="J32" s="33" t="s">
        <v>58</v>
      </c>
      <c r="K32" s="19"/>
      <c r="L32" s="38">
        <v>89401.84</v>
      </c>
      <c r="M32" s="38">
        <v>77013.41</v>
      </c>
      <c r="N32" s="38">
        <v>65264.71</v>
      </c>
      <c r="P32" s="56" t="s">
        <v>58</v>
      </c>
      <c r="Q32" s="19"/>
      <c r="R32" s="35">
        <f t="shared" ref="R32:T32" si="37">L32/L48</f>
        <v>0.5705324764</v>
      </c>
      <c r="S32" s="35">
        <f t="shared" si="37"/>
        <v>0.5518999071</v>
      </c>
      <c r="T32" s="35">
        <f t="shared" si="37"/>
        <v>0.5085397104</v>
      </c>
      <c r="V32" s="54" t="s">
        <v>58</v>
      </c>
      <c r="W32" s="23"/>
      <c r="X32" s="37">
        <f t="shared" ref="X32:Y32" si="38">(L32-M32)/M32</f>
        <v>0.1608606865</v>
      </c>
      <c r="Y32" s="37">
        <f t="shared" si="38"/>
        <v>0.180016122</v>
      </c>
      <c r="Z32" s="37"/>
    </row>
    <row r="33">
      <c r="B33" s="42" t="s">
        <v>59</v>
      </c>
      <c r="C33" s="48">
        <v>89401.84</v>
      </c>
      <c r="D33" s="48">
        <v>77013.41</v>
      </c>
      <c r="E33" s="48">
        <v>65264.71</v>
      </c>
      <c r="F33" s="48">
        <v>60166.23</v>
      </c>
      <c r="G33" s="48">
        <v>53694.51</v>
      </c>
      <c r="J33" s="33" t="s">
        <v>60</v>
      </c>
      <c r="K33" s="19"/>
      <c r="L33" s="38">
        <v>15013.97</v>
      </c>
      <c r="M33" s="38">
        <v>14838.1</v>
      </c>
      <c r="N33" s="38">
        <v>15520.09</v>
      </c>
      <c r="P33" s="33" t="s">
        <v>60</v>
      </c>
      <c r="Q33" s="19"/>
      <c r="R33" s="35">
        <f t="shared" ref="R33:T33" si="39">L33/L48</f>
        <v>0.09581410724</v>
      </c>
      <c r="S33" s="35">
        <f t="shared" si="39"/>
        <v>0.1063340269</v>
      </c>
      <c r="T33" s="35">
        <f t="shared" si="39"/>
        <v>0.1209318493</v>
      </c>
      <c r="V33" s="36" t="s">
        <v>60</v>
      </c>
      <c r="W33" s="23"/>
      <c r="X33" s="37">
        <f t="shared" ref="X33:Y33" si="40">(L33-M33)/M33</f>
        <v>0.01185259568</v>
      </c>
      <c r="Y33" s="37">
        <f t="shared" si="40"/>
        <v>-0.04394239982</v>
      </c>
      <c r="Z33" s="37"/>
    </row>
    <row r="34">
      <c r="B34" s="39" t="s">
        <v>61</v>
      </c>
      <c r="C34" s="46">
        <v>15013.97</v>
      </c>
      <c r="D34" s="46">
        <v>14838.1</v>
      </c>
      <c r="E34" s="46">
        <v>15520.09</v>
      </c>
      <c r="F34" s="46">
        <v>13749.81</v>
      </c>
      <c r="G34" s="46">
        <v>12649.51</v>
      </c>
      <c r="J34" s="33" t="s">
        <v>62</v>
      </c>
      <c r="K34" s="19"/>
      <c r="L34" s="34">
        <v>517.99</v>
      </c>
      <c r="M34" s="34">
        <v>499.09</v>
      </c>
      <c r="N34" s="34">
        <v>252.9</v>
      </c>
      <c r="P34" s="33" t="s">
        <v>62</v>
      </c>
      <c r="Q34" s="19"/>
      <c r="R34" s="35">
        <f t="shared" ref="R34:T34" si="41">L34/L48</f>
        <v>0.003305637977</v>
      </c>
      <c r="S34" s="35">
        <f t="shared" si="41"/>
        <v>0.003576620288</v>
      </c>
      <c r="T34" s="35">
        <f t="shared" si="41"/>
        <v>0.001970585524</v>
      </c>
      <c r="V34" s="36" t="s">
        <v>62</v>
      </c>
      <c r="W34" s="23"/>
      <c r="X34" s="37">
        <f t="shared" ref="X34:Y34" si="42">(L34-M34)/M34</f>
        <v>0.03786892144</v>
      </c>
      <c r="Y34" s="37">
        <f t="shared" si="42"/>
        <v>0.9734677738</v>
      </c>
      <c r="Z34" s="37"/>
    </row>
    <row r="35">
      <c r="B35" s="39" t="s">
        <v>63</v>
      </c>
      <c r="C35" s="40">
        <v>517.99</v>
      </c>
      <c r="D35" s="40">
        <v>499.09</v>
      </c>
      <c r="E35" s="40">
        <v>252.9</v>
      </c>
      <c r="F35" s="40">
        <v>334.6</v>
      </c>
      <c r="G35" s="40">
        <v>184.02</v>
      </c>
      <c r="J35" s="44"/>
      <c r="K35" s="19"/>
      <c r="L35" s="19"/>
      <c r="M35" s="19"/>
      <c r="N35" s="19"/>
      <c r="P35" s="44"/>
      <c r="Q35" s="19"/>
      <c r="R35" s="19"/>
      <c r="S35" s="19"/>
      <c r="T35" s="19"/>
      <c r="V35" s="45"/>
      <c r="W35" s="23"/>
      <c r="X35" s="23"/>
      <c r="Y35" s="23"/>
      <c r="Z35" s="23"/>
    </row>
    <row r="36">
      <c r="B36" s="39" t="s">
        <v>64</v>
      </c>
      <c r="C36" s="40">
        <v>2.0</v>
      </c>
      <c r="D36" s="40">
        <v>2.48</v>
      </c>
      <c r="E36" s="40">
        <v>2.99</v>
      </c>
      <c r="F36" s="40">
        <v>3.45</v>
      </c>
      <c r="G36" s="40">
        <v>58.14</v>
      </c>
      <c r="J36" s="33" t="s">
        <v>65</v>
      </c>
      <c r="K36" s="19"/>
      <c r="L36" s="38">
        <v>13058.56</v>
      </c>
      <c r="M36" s="38">
        <v>8678.91</v>
      </c>
      <c r="N36" s="38">
        <v>5925.04</v>
      </c>
      <c r="P36" s="33" t="s">
        <v>65</v>
      </c>
      <c r="Q36" s="19"/>
      <c r="R36" s="35">
        <f t="shared" ref="R36:T36" si="43">L36/L48</f>
        <v>0.08333533824</v>
      </c>
      <c r="S36" s="35">
        <f t="shared" si="43"/>
        <v>0.06219552702</v>
      </c>
      <c r="T36" s="35">
        <f t="shared" si="43"/>
        <v>0.04616764751</v>
      </c>
      <c r="V36" s="36" t="s">
        <v>65</v>
      </c>
      <c r="W36" s="23"/>
      <c r="X36" s="37">
        <f t="shared" ref="X36:Y36" si="44">(L36-M36)/M36</f>
        <v>0.504631342</v>
      </c>
      <c r="Y36" s="37">
        <f t="shared" si="44"/>
        <v>0.4647850479</v>
      </c>
      <c r="Z36" s="37"/>
    </row>
    <row r="37">
      <c r="B37" s="39" t="s">
        <v>66</v>
      </c>
      <c r="C37" s="46">
        <v>13058.56</v>
      </c>
      <c r="D37" s="46">
        <v>8678.91</v>
      </c>
      <c r="E37" s="46">
        <v>5925.04</v>
      </c>
      <c r="F37" s="46">
        <v>5329.36</v>
      </c>
      <c r="G37" s="46">
        <v>4573.77</v>
      </c>
      <c r="J37" s="33" t="s">
        <v>67</v>
      </c>
      <c r="K37" s="19"/>
      <c r="L37" s="38">
        <v>119645.82</v>
      </c>
      <c r="M37" s="38">
        <v>102789.45</v>
      </c>
      <c r="N37" s="38">
        <v>88824.04</v>
      </c>
      <c r="P37" s="33" t="s">
        <v>67</v>
      </c>
      <c r="Q37" s="19"/>
      <c r="R37" s="35">
        <f t="shared" ref="R37:T37" si="45">L37/L48</f>
        <v>0.7635393856</v>
      </c>
      <c r="S37" s="35">
        <f t="shared" si="45"/>
        <v>0.7366183098</v>
      </c>
      <c r="T37" s="35">
        <f t="shared" si="45"/>
        <v>0.6921129594</v>
      </c>
      <c r="V37" s="36" t="s">
        <v>67</v>
      </c>
      <c r="W37" s="23"/>
      <c r="X37" s="37">
        <f>(L37-M37)/M37</f>
        <v>0.1639893005</v>
      </c>
      <c r="Y37" s="37">
        <v>0.4332</v>
      </c>
      <c r="Z37" s="37"/>
    </row>
    <row r="38">
      <c r="B38" s="42" t="s">
        <v>67</v>
      </c>
      <c r="C38" s="43" t="s">
        <v>68</v>
      </c>
      <c r="D38" s="43" t="s">
        <v>69</v>
      </c>
      <c r="E38" s="48">
        <v>88824.04</v>
      </c>
      <c r="F38" s="48">
        <v>81441.76</v>
      </c>
      <c r="G38" s="48">
        <v>72954.52</v>
      </c>
      <c r="J38" s="44"/>
      <c r="K38" s="19"/>
      <c r="L38" s="19"/>
      <c r="M38" s="19"/>
      <c r="N38" s="19"/>
      <c r="P38" s="44"/>
      <c r="Q38" s="19"/>
      <c r="R38" s="19"/>
      <c r="S38" s="19"/>
      <c r="T38" s="19"/>
      <c r="V38" s="45"/>
      <c r="W38" s="23"/>
      <c r="X38" s="23"/>
      <c r="Y38" s="23"/>
      <c r="Z38" s="23"/>
    </row>
    <row r="39">
      <c r="B39" s="32" t="s">
        <v>70</v>
      </c>
      <c r="C39" s="8"/>
      <c r="D39" s="8"/>
      <c r="E39" s="8"/>
      <c r="F39" s="8"/>
      <c r="G39" s="8"/>
      <c r="J39" s="33" t="s">
        <v>70</v>
      </c>
      <c r="K39" s="19"/>
      <c r="L39" s="19"/>
      <c r="M39" s="19"/>
      <c r="N39" s="19"/>
      <c r="P39" s="56" t="s">
        <v>70</v>
      </c>
      <c r="Q39" s="19"/>
      <c r="R39" s="19"/>
      <c r="S39" s="19"/>
      <c r="T39" s="19"/>
      <c r="V39" s="54" t="s">
        <v>70</v>
      </c>
      <c r="W39" s="23"/>
      <c r="X39" s="23"/>
      <c r="Y39" s="23"/>
      <c r="Z39" s="23"/>
    </row>
    <row r="40">
      <c r="B40" s="39" t="s">
        <v>71</v>
      </c>
      <c r="C40" s="46">
        <v>1302.42</v>
      </c>
      <c r="D40" s="46">
        <v>1477.89</v>
      </c>
      <c r="E40" s="46">
        <v>1149.6</v>
      </c>
      <c r="F40" s="40">
        <v>410.52</v>
      </c>
      <c r="G40" s="40">
        <v>499.54</v>
      </c>
      <c r="J40" s="33" t="s">
        <v>71</v>
      </c>
      <c r="K40" s="19"/>
      <c r="L40" s="38">
        <v>1302.42</v>
      </c>
      <c r="M40" s="38">
        <v>1477.89</v>
      </c>
      <c r="N40" s="38">
        <v>1149.6</v>
      </c>
      <c r="P40" s="33" t="s">
        <v>71</v>
      </c>
      <c r="Q40" s="19"/>
      <c r="R40" s="35">
        <f t="shared" ref="R40:T40" si="46">L40/L48</f>
        <v>0.008311606427</v>
      </c>
      <c r="S40" s="35">
        <f t="shared" si="46"/>
        <v>0.01059097829</v>
      </c>
      <c r="T40" s="35">
        <f t="shared" si="46"/>
        <v>0.008957631944</v>
      </c>
      <c r="V40" s="36" t="s">
        <v>71</v>
      </c>
      <c r="W40" s="23"/>
      <c r="X40" s="57">
        <f t="shared" ref="X40:Y40" si="47">(L40-M40)/M40</f>
        <v>-0.1187300814</v>
      </c>
      <c r="Y40" s="37">
        <f t="shared" si="47"/>
        <v>0.2855688935</v>
      </c>
      <c r="Z40" s="37"/>
    </row>
    <row r="41">
      <c r="B41" s="39" t="s">
        <v>72</v>
      </c>
      <c r="C41" s="46">
        <v>4571.82</v>
      </c>
      <c r="D41" s="46">
        <v>4419.63</v>
      </c>
      <c r="E41" s="46">
        <v>3942.88</v>
      </c>
      <c r="F41" s="46">
        <v>4231.52</v>
      </c>
      <c r="G41" s="46">
        <v>1884.8</v>
      </c>
      <c r="J41" s="33" t="s">
        <v>72</v>
      </c>
      <c r="K41" s="19"/>
      <c r="L41" s="38">
        <v>4571.82</v>
      </c>
      <c r="M41" s="38">
        <v>4419.63</v>
      </c>
      <c r="N41" s="38">
        <v>3942.88</v>
      </c>
      <c r="P41" s="33" t="s">
        <v>72</v>
      </c>
      <c r="Q41" s="19"/>
      <c r="R41" s="35">
        <f t="shared" ref="R41:T41" si="48">L41/L48</f>
        <v>0.02917581771</v>
      </c>
      <c r="S41" s="35">
        <f t="shared" si="48"/>
        <v>0.03167232027</v>
      </c>
      <c r="T41" s="35">
        <f t="shared" si="48"/>
        <v>0.03072274516</v>
      </c>
      <c r="V41" s="36" t="s">
        <v>72</v>
      </c>
      <c r="W41" s="23"/>
      <c r="X41" s="37">
        <f t="shared" ref="X41:Y41" si="49">(L41-M41)/M41</f>
        <v>0.03443500927</v>
      </c>
      <c r="Y41" s="37">
        <f t="shared" si="49"/>
        <v>0.1209141541</v>
      </c>
      <c r="Z41" s="37"/>
    </row>
    <row r="42">
      <c r="B42" s="39" t="s">
        <v>73</v>
      </c>
      <c r="C42" s="46">
        <v>5784.25</v>
      </c>
      <c r="D42" s="46">
        <v>10019.84</v>
      </c>
      <c r="E42" s="46">
        <v>9463.36</v>
      </c>
      <c r="F42" s="46">
        <v>5979.74</v>
      </c>
      <c r="G42" s="46">
        <v>5000.97</v>
      </c>
      <c r="J42" s="33" t="s">
        <v>73</v>
      </c>
      <c r="K42" s="19"/>
      <c r="L42" s="38">
        <v>5784.25</v>
      </c>
      <c r="M42" s="38">
        <v>10019.84</v>
      </c>
      <c r="N42" s="38">
        <v>9463.36</v>
      </c>
      <c r="P42" s="33" t="s">
        <v>73</v>
      </c>
      <c r="Q42" s="19"/>
      <c r="R42" s="35">
        <f t="shared" ref="R42:T42" si="50">L42/L48</f>
        <v>0.03691313822</v>
      </c>
      <c r="S42" s="35">
        <f t="shared" si="50"/>
        <v>0.07180501117</v>
      </c>
      <c r="T42" s="35">
        <f t="shared" si="50"/>
        <v>0.07373807918</v>
      </c>
      <c r="V42" s="36" t="s">
        <v>73</v>
      </c>
      <c r="W42" s="23"/>
      <c r="X42" s="37">
        <f t="shared" ref="X42:Y42" si="51">(L42-M42)/M42</f>
        <v>-0.4227203229</v>
      </c>
      <c r="Y42" s="37">
        <f t="shared" si="51"/>
        <v>0.05880363845</v>
      </c>
      <c r="Z42" s="37"/>
    </row>
    <row r="43">
      <c r="B43" s="39" t="s">
        <v>74</v>
      </c>
      <c r="C43" s="46">
        <v>11750.98</v>
      </c>
      <c r="D43" s="46">
        <v>9151.91</v>
      </c>
      <c r="E43" s="46">
        <v>11206.53</v>
      </c>
      <c r="F43" s="46">
        <v>6640.7</v>
      </c>
      <c r="G43" s="46">
        <v>6112.68</v>
      </c>
      <c r="J43" s="33" t="s">
        <v>75</v>
      </c>
      <c r="K43" s="19"/>
      <c r="L43" s="38">
        <v>11750.98</v>
      </c>
      <c r="M43" s="38">
        <v>9151.91</v>
      </c>
      <c r="N43" s="38">
        <v>11206.53</v>
      </c>
      <c r="P43" s="33" t="s">
        <v>75</v>
      </c>
      <c r="Q43" s="19"/>
      <c r="R43" s="35">
        <f t="shared" ref="R43:T43" si="52">L43/L48</f>
        <v>0.07499080243</v>
      </c>
      <c r="S43" s="35">
        <f t="shared" si="52"/>
        <v>0.06558517898</v>
      </c>
      <c r="T43" s="35">
        <f t="shared" si="52"/>
        <v>0.0873207821</v>
      </c>
      <c r="V43" s="36" t="s">
        <v>75</v>
      </c>
      <c r="W43" s="23"/>
      <c r="X43" s="37">
        <f t="shared" ref="X43:Y43" si="53">(L43-M43)/M43</f>
        <v>0.2839920847</v>
      </c>
      <c r="Y43" s="37">
        <f t="shared" si="53"/>
        <v>-0.1833413197</v>
      </c>
      <c r="Z43" s="37"/>
    </row>
    <row r="44">
      <c r="B44" s="39" t="s">
        <v>76</v>
      </c>
      <c r="C44" s="40">
        <v>12.34</v>
      </c>
      <c r="D44" s="40">
        <v>11.14</v>
      </c>
      <c r="E44" s="40">
        <v>11.55</v>
      </c>
      <c r="F44" s="40">
        <v>9.34</v>
      </c>
      <c r="G44" s="40">
        <v>30.71</v>
      </c>
      <c r="J44" s="44"/>
      <c r="K44" s="19"/>
      <c r="L44" s="19"/>
      <c r="M44" s="19"/>
      <c r="N44" s="19"/>
      <c r="P44" s="44"/>
      <c r="Q44" s="19"/>
      <c r="R44" s="19"/>
      <c r="S44" s="19"/>
      <c r="T44" s="19"/>
      <c r="V44" s="45"/>
      <c r="W44" s="23"/>
      <c r="X44" s="23"/>
      <c r="Y44" s="23"/>
      <c r="Z44" s="23"/>
    </row>
    <row r="45">
      <c r="B45" s="39" t="s">
        <v>77</v>
      </c>
      <c r="C45" s="46">
        <v>13643.66</v>
      </c>
      <c r="D45" s="46">
        <v>11683.63</v>
      </c>
      <c r="E45" s="46">
        <v>13751.08</v>
      </c>
      <c r="F45" s="46">
        <v>14171.01</v>
      </c>
      <c r="G45" s="46">
        <v>12368.01</v>
      </c>
      <c r="J45" s="33" t="s">
        <v>78</v>
      </c>
      <c r="K45" s="19"/>
      <c r="L45" s="38">
        <v>13643.66</v>
      </c>
      <c r="M45" s="38">
        <v>11683.63</v>
      </c>
      <c r="N45" s="38">
        <v>13751.08</v>
      </c>
      <c r="P45" s="33" t="s">
        <v>78</v>
      </c>
      <c r="Q45" s="19"/>
      <c r="R45" s="35">
        <f t="shared" ref="R45:T45" si="54">L45/L48</f>
        <v>0.08706924967</v>
      </c>
      <c r="S45" s="35">
        <f t="shared" si="54"/>
        <v>0.08372820151</v>
      </c>
      <c r="T45" s="35">
        <f t="shared" si="54"/>
        <v>0.1071478023</v>
      </c>
      <c r="V45" s="36" t="s">
        <v>78</v>
      </c>
      <c r="W45" s="23"/>
      <c r="X45" s="37">
        <f t="shared" ref="X45:Y45" si="55">(L45-M45)/M45</f>
        <v>0.1677586504</v>
      </c>
      <c r="Y45" s="37">
        <f t="shared" si="55"/>
        <v>-0.1503481908</v>
      </c>
      <c r="Z45" s="37"/>
    </row>
    <row r="46">
      <c r="B46" s="42" t="s">
        <v>79</v>
      </c>
      <c r="C46" s="48">
        <v>37065.47</v>
      </c>
      <c r="D46" s="48">
        <v>36764.04</v>
      </c>
      <c r="E46" s="48">
        <v>39525.0</v>
      </c>
      <c r="F46" s="48">
        <v>31442.83</v>
      </c>
      <c r="G46" s="48">
        <v>25896.71</v>
      </c>
      <c r="J46" s="33" t="s">
        <v>79</v>
      </c>
      <c r="K46" s="19"/>
      <c r="L46" s="38">
        <f t="shared" ref="L46:N46" si="56">L40+L41+L42+L43+L44+L45</f>
        <v>37053.13</v>
      </c>
      <c r="M46" s="38">
        <f t="shared" si="56"/>
        <v>36752.9</v>
      </c>
      <c r="N46" s="38">
        <f t="shared" si="56"/>
        <v>39513.45</v>
      </c>
      <c r="P46" s="33" t="s">
        <v>79</v>
      </c>
      <c r="Q46" s="19"/>
      <c r="R46" s="35">
        <f t="shared" ref="R46:T46" si="57">L46/L48</f>
        <v>0.2364606144</v>
      </c>
      <c r="S46" s="35">
        <f t="shared" si="57"/>
        <v>0.2633816902</v>
      </c>
      <c r="T46" s="35">
        <f t="shared" si="57"/>
        <v>0.3078870406</v>
      </c>
      <c r="V46" s="36" t="s">
        <v>79</v>
      </c>
      <c r="W46" s="23"/>
      <c r="X46" s="37">
        <f t="shared" ref="X46:Y46" si="58">(L46-M46)/M46</f>
        <v>0.00816887919</v>
      </c>
      <c r="Y46" s="37">
        <f t="shared" si="58"/>
        <v>-0.06986355279</v>
      </c>
      <c r="Z46" s="37"/>
    </row>
    <row r="47">
      <c r="J47" s="44"/>
      <c r="K47" s="19"/>
      <c r="L47" s="19"/>
      <c r="M47" s="19"/>
      <c r="N47" s="19"/>
      <c r="P47" s="44"/>
      <c r="Q47" s="19"/>
      <c r="R47" s="19"/>
      <c r="S47" s="19"/>
      <c r="T47" s="19"/>
      <c r="V47" s="45"/>
      <c r="W47" s="23"/>
      <c r="X47" s="23"/>
      <c r="Y47" s="23"/>
      <c r="Z47" s="23"/>
    </row>
    <row r="48">
      <c r="J48" s="33" t="s">
        <v>80</v>
      </c>
      <c r="K48" s="19"/>
      <c r="L48" s="38">
        <v>156698.95</v>
      </c>
      <c r="M48" s="38">
        <v>139542.35</v>
      </c>
      <c r="N48" s="38">
        <v>128337.49</v>
      </c>
      <c r="P48" s="56" t="s">
        <v>80</v>
      </c>
      <c r="Q48" s="19"/>
      <c r="R48" s="35">
        <f t="shared" ref="R48:T48" si="59">L48/L48</f>
        <v>1</v>
      </c>
      <c r="S48" s="35">
        <f t="shared" si="59"/>
        <v>1</v>
      </c>
      <c r="T48" s="35">
        <f t="shared" si="59"/>
        <v>1</v>
      </c>
      <c r="V48" s="54" t="s">
        <v>80</v>
      </c>
      <c r="W48" s="23"/>
      <c r="X48" s="37">
        <f t="shared" ref="X48:Y48" si="60">(L48-M48)/M48</f>
        <v>0.1229490545</v>
      </c>
      <c r="Y48" s="37">
        <f t="shared" si="60"/>
        <v>0.08730776954</v>
      </c>
      <c r="Z48" s="37"/>
    </row>
    <row r="49">
      <c r="J49" s="33" t="s">
        <v>81</v>
      </c>
      <c r="K49" s="19"/>
      <c r="L49" s="38">
        <f t="shared" ref="L49:N49" si="61">L46-L22</f>
        <v>-8468.69</v>
      </c>
      <c r="M49" s="38">
        <f t="shared" si="61"/>
        <v>-5215.05</v>
      </c>
      <c r="N49" s="38">
        <f t="shared" si="61"/>
        <v>-5814.67</v>
      </c>
    </row>
    <row r="50">
      <c r="J50" s="33" t="s">
        <v>82</v>
      </c>
      <c r="K50" s="19"/>
      <c r="L50" s="38">
        <f t="shared" ref="L50:M50" si="62">L49-M49</f>
        <v>-3253.64</v>
      </c>
      <c r="M50" s="38">
        <f t="shared" si="62"/>
        <v>599.62</v>
      </c>
      <c r="N50" s="19"/>
    </row>
    <row r="59">
      <c r="B59" s="10"/>
      <c r="C59" s="10"/>
      <c r="D59" s="10"/>
      <c r="E59" s="10"/>
      <c r="F59" s="10"/>
      <c r="G59" s="10"/>
      <c r="H59" s="10"/>
    </row>
    <row r="60">
      <c r="B60" s="58" t="s">
        <v>83</v>
      </c>
      <c r="C60" s="59"/>
      <c r="D60" s="59"/>
      <c r="E60" s="59"/>
      <c r="F60" s="59"/>
      <c r="G60" s="59"/>
      <c r="H60" s="59"/>
    </row>
    <row r="61">
      <c r="B61" s="60"/>
      <c r="C61" s="61"/>
      <c r="D61" s="62">
        <v>45741.0</v>
      </c>
      <c r="E61" s="62">
        <v>45740.0</v>
      </c>
      <c r="F61" s="62">
        <v>45739.0</v>
      </c>
      <c r="G61" s="61"/>
      <c r="H61" s="63" t="s">
        <v>84</v>
      </c>
    </row>
    <row r="62">
      <c r="B62" s="64" t="s">
        <v>85</v>
      </c>
      <c r="C62" s="65"/>
      <c r="D62" s="66">
        <f>'Income Statement'!K5/'Balance Sheet'!L42</f>
        <v>11.58182478</v>
      </c>
      <c r="E62" s="66">
        <f>'Income Statement'!L5/'Balance Sheet'!M42</f>
        <v>6.314703628</v>
      </c>
      <c r="F62" s="66">
        <f>'Income Statement'!M5/'Balance Sheet'!N42</f>
        <v>5.975372384</v>
      </c>
      <c r="G62" s="65"/>
      <c r="H62" s="67">
        <f t="shared" ref="H62:H67" si="63">AVERAGE(D62:F62)</f>
        <v>7.957300265</v>
      </c>
    </row>
    <row r="63">
      <c r="B63" s="64" t="s">
        <v>86</v>
      </c>
      <c r="C63" s="65"/>
      <c r="D63" s="66">
        <f>'Income Statement'!K6/L41</f>
        <v>8.520593549</v>
      </c>
      <c r="E63" s="66">
        <f>'Income Statement'!L6/M41</f>
        <v>8.953894331</v>
      </c>
      <c r="F63" s="66">
        <f>'Income Statement'!M6/N41</f>
        <v>9.33536907</v>
      </c>
      <c r="G63" s="65"/>
      <c r="H63" s="67">
        <f t="shared" si="63"/>
        <v>8.936618983</v>
      </c>
    </row>
    <row r="64">
      <c r="B64" s="64" t="s">
        <v>87</v>
      </c>
      <c r="C64" s="65"/>
      <c r="D64" s="66">
        <f>'Income Statement'!K6/L19</f>
        <v>4.399390144</v>
      </c>
      <c r="E64" s="66">
        <f>'Income Statement'!L6/M19</f>
        <v>4.245395258</v>
      </c>
      <c r="F64" s="66">
        <f>'Income Statement'!M6/N19</f>
        <v>4.969251539</v>
      </c>
      <c r="G64" s="65"/>
      <c r="H64" s="67">
        <f t="shared" si="63"/>
        <v>4.538012314</v>
      </c>
    </row>
    <row r="65">
      <c r="B65" s="64" t="s">
        <v>88</v>
      </c>
      <c r="C65" s="65"/>
      <c r="D65" s="66">
        <f t="shared" ref="D65:F65" si="64">L43/L22</f>
        <v>0.2581395032</v>
      </c>
      <c r="E65" s="66">
        <f t="shared" si="64"/>
        <v>0.2180690265</v>
      </c>
      <c r="F65" s="66">
        <f t="shared" si="64"/>
        <v>0.2472312992</v>
      </c>
      <c r="G65" s="65"/>
      <c r="H65" s="67">
        <f t="shared" si="63"/>
        <v>0.2411466096</v>
      </c>
    </row>
    <row r="66">
      <c r="B66" s="64" t="s">
        <v>89</v>
      </c>
      <c r="C66" s="65"/>
      <c r="D66" s="66">
        <f>'Income Statement'!K5/'Balance Sheet'!L49</f>
        <v>-7.910570584</v>
      </c>
      <c r="E66" s="66">
        <f>'Income Statement'!L5/'Balance Sheet'!M49</f>
        <v>-12.13263919</v>
      </c>
      <c r="F66" s="66">
        <f>'Income Statement'!M5/'Balance Sheet'!N49</f>
        <v>-9.724902703</v>
      </c>
      <c r="G66" s="65"/>
      <c r="H66" s="67">
        <f t="shared" si="63"/>
        <v>-9.922704159</v>
      </c>
    </row>
    <row r="67">
      <c r="B67" s="68" t="s">
        <v>90</v>
      </c>
      <c r="C67" s="69"/>
      <c r="D67" s="70">
        <f>'Income Statement'!K5/'Balance Sheet'!L28</f>
        <v>0.8890649089</v>
      </c>
      <c r="E67" s="70">
        <f>'Income Statement'!L5/'Balance Sheet'!M28</f>
        <v>0.9887410789</v>
      </c>
      <c r="F67" s="70">
        <f>'Income Statement'!M5/'Balance Sheet'!N28</f>
        <v>0.9665012791</v>
      </c>
      <c r="G67" s="69"/>
      <c r="H67" s="71">
        <f t="shared" si="63"/>
        <v>0.9481024223</v>
      </c>
    </row>
    <row r="68">
      <c r="B68" s="10"/>
      <c r="C68" s="10"/>
      <c r="D68" s="10"/>
      <c r="E68" s="10"/>
      <c r="F68" s="10"/>
      <c r="G68" s="10"/>
      <c r="H68" s="10"/>
    </row>
    <row r="69">
      <c r="B69" s="72" t="s">
        <v>91</v>
      </c>
      <c r="C69" s="73">
        <v>45746.0</v>
      </c>
      <c r="D69" s="73">
        <v>45745.0</v>
      </c>
      <c r="E69" s="73">
        <v>45744.0</v>
      </c>
      <c r="F69" s="73">
        <v>45743.0</v>
      </c>
      <c r="G69" s="73">
        <v>45742.0</v>
      </c>
      <c r="H69" s="73">
        <v>45741.0</v>
      </c>
    </row>
    <row r="70">
      <c r="B70" s="74" t="s">
        <v>92</v>
      </c>
      <c r="C70" s="75"/>
      <c r="D70" s="75"/>
      <c r="E70" s="75"/>
      <c r="F70" s="75"/>
      <c r="G70" s="75"/>
      <c r="H70" s="75"/>
    </row>
    <row r="71">
      <c r="B71" s="76" t="s">
        <v>93</v>
      </c>
      <c r="C71" s="77">
        <f>'Income Statement'!C63/'Balance Sheet'!$H$67</f>
        <v>108151.2172</v>
      </c>
      <c r="D71" s="77">
        <f>'Income Statement'!D63/'Balance Sheet'!$H$67</f>
        <v>99325.07171</v>
      </c>
      <c r="E71" s="77">
        <f>'Income Statement'!E63/'Balance Sheet'!$H$67</f>
        <v>91219.22178</v>
      </c>
      <c r="F71" s="77">
        <f>'Income Statement'!F63/'Balance Sheet'!$H$67</f>
        <v>83774.88462</v>
      </c>
      <c r="G71" s="77">
        <f>'Income Statement'!G63/'Balance Sheet'!$H$67</f>
        <v>76938.07463</v>
      </c>
      <c r="H71" s="78">
        <f>L28</f>
        <v>75351.27</v>
      </c>
    </row>
    <row r="72">
      <c r="B72" s="76" t="s">
        <v>81</v>
      </c>
      <c r="C72" s="77">
        <f>'Income Statement'!C63/'Balance Sheet'!$H$66</f>
        <v>-10333.71845</v>
      </c>
      <c r="D72" s="77">
        <f>'Income Statement'!D63/'Balance Sheet'!$H$66</f>
        <v>-9490.390883</v>
      </c>
      <c r="E72" s="77">
        <f>'Income Statement'!E63/'Balance Sheet'!$H$66</f>
        <v>-8715.886693</v>
      </c>
      <c r="F72" s="77">
        <f>'Income Statement'!F63/'Balance Sheet'!$H$66</f>
        <v>-8004.58925</v>
      </c>
      <c r="G72" s="77">
        <f>'Income Statement'!G63/'Balance Sheet'!$H$66</f>
        <v>-7351.340296</v>
      </c>
      <c r="H72" s="78">
        <f t="shared" ref="H72:H73" si="66">L49</f>
        <v>-8468.69</v>
      </c>
    </row>
    <row r="73">
      <c r="B73" s="76" t="s">
        <v>82</v>
      </c>
      <c r="C73" s="77">
        <f t="shared" ref="C73:G73" si="65">C72-D72</f>
        <v>-843.3275658</v>
      </c>
      <c r="D73" s="77">
        <f t="shared" si="65"/>
        <v>-774.5041905</v>
      </c>
      <c r="E73" s="77">
        <f t="shared" si="65"/>
        <v>-711.2974429</v>
      </c>
      <c r="F73" s="77">
        <f t="shared" si="65"/>
        <v>-653.248954</v>
      </c>
      <c r="G73" s="79">
        <f t="shared" si="65"/>
        <v>1117.349704</v>
      </c>
      <c r="H73" s="78">
        <f t="shared" si="66"/>
        <v>-3253.64</v>
      </c>
    </row>
    <row r="74">
      <c r="B74" s="80" t="s">
        <v>29</v>
      </c>
      <c r="C74" s="81">
        <f>D74+'Income Statement'!C68</f>
        <v>79267.59398</v>
      </c>
      <c r="D74" s="81">
        <f>E74+'Income Statement'!D68</f>
        <v>70505.46405</v>
      </c>
      <c r="E74" s="81">
        <f>F74+'Income Statement'!E68</f>
        <v>62711.88781</v>
      </c>
      <c r="F74" s="81">
        <f>G74+'Income Statement'!F68</f>
        <v>55779.80268</v>
      </c>
      <c r="G74" s="81">
        <f>H74+'Income Statement'!G68</f>
        <v>49613.98063</v>
      </c>
      <c r="H74" s="82">
        <f>L11</f>
        <v>44129.72</v>
      </c>
    </row>
  </sheetData>
  <mergeCells count="8">
    <mergeCell ref="B1:G1"/>
    <mergeCell ref="J1:N2"/>
    <mergeCell ref="C2:F2"/>
    <mergeCell ref="L3:N3"/>
    <mergeCell ref="P1:T2"/>
    <mergeCell ref="R3:T3"/>
    <mergeCell ref="V1:Z2"/>
    <mergeCell ref="X3:Z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88"/>
    <col customWidth="1" min="10" max="10" width="33.38"/>
    <col customWidth="1" min="11" max="11" width="19.88"/>
    <col customWidth="1" min="12" max="12" width="23.13"/>
    <col customWidth="1" min="13" max="13" width="18.25"/>
    <col customWidth="1" min="15" max="15" width="38.38"/>
    <col customWidth="1" min="20" max="20" width="38.0"/>
  </cols>
  <sheetData>
    <row r="1">
      <c r="B1" s="83" t="s">
        <v>94</v>
      </c>
      <c r="C1" s="84"/>
      <c r="D1" s="84"/>
      <c r="E1" s="84"/>
      <c r="F1" s="84"/>
      <c r="G1" s="85"/>
      <c r="J1" s="86" t="s">
        <v>95</v>
      </c>
      <c r="M1" s="87"/>
      <c r="N1" s="88"/>
      <c r="O1" s="86" t="s">
        <v>96</v>
      </c>
      <c r="T1" s="86" t="s">
        <v>97</v>
      </c>
    </row>
    <row r="2">
      <c r="B2" s="89"/>
      <c r="C2" s="90"/>
      <c r="D2" s="90"/>
      <c r="E2" s="90"/>
      <c r="F2" s="90"/>
      <c r="G2" s="91"/>
      <c r="J2" s="90"/>
      <c r="K2" s="90"/>
      <c r="L2" s="90"/>
      <c r="M2" s="91"/>
      <c r="N2" s="92"/>
    </row>
    <row r="3">
      <c r="B3" s="93" t="s">
        <v>98</v>
      </c>
      <c r="C3" s="94" t="s">
        <v>99</v>
      </c>
      <c r="D3" s="6"/>
      <c r="E3" s="6"/>
      <c r="F3" s="6"/>
      <c r="G3" s="7"/>
      <c r="J3" s="95"/>
      <c r="K3" s="96" t="s">
        <v>6</v>
      </c>
      <c r="L3" s="6"/>
      <c r="M3" s="7"/>
      <c r="N3" s="97"/>
      <c r="O3" s="95"/>
      <c r="P3" s="11" t="s">
        <v>6</v>
      </c>
      <c r="Q3" s="6"/>
      <c r="R3" s="7"/>
      <c r="T3" s="10"/>
      <c r="U3" s="11" t="s">
        <v>6</v>
      </c>
      <c r="V3" s="6"/>
      <c r="W3" s="7"/>
    </row>
    <row r="4">
      <c r="B4" s="98"/>
      <c r="C4" s="99">
        <v>45741.0</v>
      </c>
      <c r="D4" s="100">
        <v>45740.0</v>
      </c>
      <c r="E4" s="100">
        <v>45739.0</v>
      </c>
      <c r="F4" s="100">
        <v>45738.0</v>
      </c>
      <c r="G4" s="100">
        <v>45737.0</v>
      </c>
      <c r="J4" s="95"/>
      <c r="K4" s="20">
        <v>45741.0</v>
      </c>
      <c r="L4" s="21">
        <v>45740.0</v>
      </c>
      <c r="M4" s="21">
        <v>45739.0</v>
      </c>
      <c r="N4" s="101"/>
      <c r="O4" s="95"/>
      <c r="P4" s="20">
        <v>45741.0</v>
      </c>
      <c r="Q4" s="21">
        <v>45740.0</v>
      </c>
      <c r="R4" s="21">
        <v>45739.0</v>
      </c>
      <c r="T4" s="10"/>
      <c r="U4" s="20">
        <v>45741.0</v>
      </c>
      <c r="V4" s="21">
        <v>45740.0</v>
      </c>
      <c r="W4" s="21">
        <v>45739.0</v>
      </c>
    </row>
    <row r="5">
      <c r="B5" s="98"/>
      <c r="C5" s="102" t="s">
        <v>7</v>
      </c>
      <c r="D5" s="103" t="s">
        <v>7</v>
      </c>
      <c r="E5" s="103" t="s">
        <v>7</v>
      </c>
      <c r="F5" s="103" t="s">
        <v>7</v>
      </c>
      <c r="G5" s="103" t="s">
        <v>7</v>
      </c>
      <c r="J5" s="104" t="s">
        <v>100</v>
      </c>
      <c r="K5" s="38">
        <f t="shared" ref="K5:M5" si="1">C13</f>
        <v>66992.17</v>
      </c>
      <c r="L5" s="38">
        <f t="shared" si="1"/>
        <v>63272.32</v>
      </c>
      <c r="M5" s="38">
        <f t="shared" si="1"/>
        <v>56547.1</v>
      </c>
      <c r="N5" s="105"/>
      <c r="O5" s="104" t="s">
        <v>100</v>
      </c>
      <c r="P5" s="35">
        <v>1.0</v>
      </c>
      <c r="Q5" s="35">
        <v>1.0</v>
      </c>
      <c r="R5" s="35">
        <v>1.0</v>
      </c>
      <c r="T5" s="104" t="s">
        <v>100</v>
      </c>
      <c r="U5" s="35">
        <f t="shared" ref="U5:V5" si="2">(K5-L5)/L5</f>
        <v>0.05879111118</v>
      </c>
      <c r="V5" s="35">
        <f t="shared" si="2"/>
        <v>0.118931298</v>
      </c>
      <c r="W5" s="19"/>
    </row>
    <row r="6">
      <c r="B6" s="98"/>
      <c r="C6" s="106"/>
      <c r="D6" s="107"/>
      <c r="E6" s="107"/>
      <c r="F6" s="107"/>
      <c r="G6" s="107"/>
      <c r="J6" s="108" t="s">
        <v>101</v>
      </c>
      <c r="K6" s="38">
        <f t="shared" ref="K6:M6" si="3">(C15+C16+C17+C18+C20)</f>
        <v>38954.62</v>
      </c>
      <c r="L6" s="38">
        <f t="shared" si="3"/>
        <v>39572.9</v>
      </c>
      <c r="M6" s="38">
        <f t="shared" si="3"/>
        <v>36808.24</v>
      </c>
      <c r="N6" s="109"/>
      <c r="O6" s="108" t="s">
        <v>101</v>
      </c>
      <c r="P6" s="35">
        <f>K6/$K$5</f>
        <v>0.5814801939</v>
      </c>
      <c r="Q6" s="35">
        <f t="shared" ref="Q6:R6" si="4">L6/L5</f>
        <v>0.6254377902</v>
      </c>
      <c r="R6" s="35">
        <f t="shared" si="4"/>
        <v>0.6509306401</v>
      </c>
      <c r="T6" s="108" t="s">
        <v>101</v>
      </c>
      <c r="U6" s="35">
        <f t="shared" ref="U6:V6" si="5">(K6-L6)/L6</f>
        <v>-0.01562382337</v>
      </c>
      <c r="V6" s="35">
        <f t="shared" si="5"/>
        <v>0.07510981237</v>
      </c>
      <c r="W6" s="19"/>
    </row>
    <row r="7">
      <c r="B7" s="110" t="s">
        <v>102</v>
      </c>
      <c r="C7" s="98"/>
      <c r="D7" s="111"/>
      <c r="E7" s="111"/>
      <c r="F7" s="111"/>
      <c r="G7" s="111"/>
      <c r="J7" s="112"/>
      <c r="K7" s="113"/>
      <c r="L7" s="114"/>
      <c r="M7" s="114"/>
      <c r="N7" s="115"/>
      <c r="O7" s="116"/>
      <c r="P7" s="19"/>
      <c r="Q7" s="19"/>
      <c r="R7" s="19"/>
      <c r="T7" s="112"/>
      <c r="U7" s="19"/>
      <c r="V7" s="19"/>
      <c r="W7" s="19"/>
    </row>
    <row r="8">
      <c r="B8" s="117" t="s">
        <v>103</v>
      </c>
      <c r="C8" s="118">
        <v>63618.07</v>
      </c>
      <c r="D8" s="118">
        <v>59887.92</v>
      </c>
      <c r="E8" s="118">
        <v>53623.89</v>
      </c>
      <c r="F8" s="118">
        <v>41461.68</v>
      </c>
      <c r="G8" s="118">
        <v>31596.3</v>
      </c>
      <c r="J8" s="104" t="s">
        <v>104</v>
      </c>
      <c r="K8" s="38">
        <f t="shared" ref="K8:M8" si="6">(K5-K6)</f>
        <v>28037.55</v>
      </c>
      <c r="L8" s="38">
        <f t="shared" si="6"/>
        <v>23699.42</v>
      </c>
      <c r="M8" s="38">
        <f t="shared" si="6"/>
        <v>19738.86</v>
      </c>
      <c r="N8" s="119"/>
      <c r="O8" s="104" t="s">
        <v>104</v>
      </c>
      <c r="P8" s="35">
        <f t="shared" ref="P8:R8" si="7">K8/K5</f>
        <v>0.4185198061</v>
      </c>
      <c r="Q8" s="35">
        <f t="shared" si="7"/>
        <v>0.3745622098</v>
      </c>
      <c r="R8" s="35">
        <f t="shared" si="7"/>
        <v>0.3490693599</v>
      </c>
      <c r="T8" s="104" t="s">
        <v>104</v>
      </c>
      <c r="U8" s="35">
        <f t="shared" ref="U8:V8" si="8">(K8-L8)/L8</f>
        <v>0.1830479396</v>
      </c>
      <c r="V8" s="35">
        <f t="shared" si="8"/>
        <v>0.2006478591</v>
      </c>
      <c r="W8" s="19"/>
    </row>
    <row r="9">
      <c r="B9" s="117" t="s">
        <v>105</v>
      </c>
      <c r="C9" s="118">
        <v>63618.07</v>
      </c>
      <c r="D9" s="118">
        <v>59887.92</v>
      </c>
      <c r="E9" s="118">
        <v>53623.89</v>
      </c>
      <c r="F9" s="118">
        <v>41461.68</v>
      </c>
      <c r="G9" s="118">
        <v>31596.3</v>
      </c>
      <c r="J9" s="112"/>
      <c r="K9" s="120"/>
      <c r="L9" s="120"/>
      <c r="M9" s="120"/>
      <c r="N9" s="121"/>
      <c r="O9" s="122"/>
      <c r="P9" s="19"/>
      <c r="Q9" s="19"/>
      <c r="R9" s="19"/>
      <c r="T9" s="112"/>
      <c r="U9" s="19"/>
      <c r="V9" s="19"/>
      <c r="W9" s="19"/>
    </row>
    <row r="10">
      <c r="B10" s="123" t="s">
        <v>106</v>
      </c>
      <c r="C10" s="124">
        <v>1860.17</v>
      </c>
      <c r="D10" s="124">
        <v>1560.98</v>
      </c>
      <c r="E10" s="124">
        <v>1485.19</v>
      </c>
      <c r="F10" s="124">
        <v>1353.99</v>
      </c>
      <c r="G10" s="125">
        <v>871.8</v>
      </c>
      <c r="J10" s="104" t="s">
        <v>107</v>
      </c>
      <c r="K10" s="38">
        <f t="shared" ref="K10:M10" si="9">(C19+C21+C24)</f>
        <v>12593.75</v>
      </c>
      <c r="L10" s="38">
        <f t="shared" si="9"/>
        <v>11092.17</v>
      </c>
      <c r="M10" s="38">
        <f t="shared" si="9"/>
        <v>10594.52</v>
      </c>
      <c r="N10" s="119"/>
      <c r="O10" s="104" t="s">
        <v>107</v>
      </c>
      <c r="P10" s="35">
        <f t="shared" ref="P10:R10" si="10">K10/K5</f>
        <v>0.1879883873</v>
      </c>
      <c r="Q10" s="35">
        <f t="shared" si="10"/>
        <v>0.1753084129</v>
      </c>
      <c r="R10" s="35">
        <f t="shared" si="10"/>
        <v>0.1873574418</v>
      </c>
      <c r="T10" s="104" t="s">
        <v>107</v>
      </c>
      <c r="U10" s="35">
        <f t="shared" ref="U10:V10" si="11">(K10-L10)/L10</f>
        <v>0.1353729703</v>
      </c>
      <c r="V10" s="35">
        <f t="shared" si="11"/>
        <v>0.04697239705</v>
      </c>
      <c r="W10" s="19"/>
    </row>
    <row r="11">
      <c r="B11" s="117" t="s">
        <v>108</v>
      </c>
      <c r="C11" s="118">
        <v>65478.24</v>
      </c>
      <c r="D11" s="118">
        <v>61448.9</v>
      </c>
      <c r="E11" s="118">
        <v>55109.08</v>
      </c>
      <c r="F11" s="118">
        <v>42815.67</v>
      </c>
      <c r="G11" s="118">
        <v>32468.1</v>
      </c>
      <c r="J11" s="126"/>
      <c r="K11" s="120"/>
      <c r="L11" s="19"/>
      <c r="M11" s="19"/>
      <c r="N11" s="127"/>
      <c r="O11" s="128"/>
      <c r="P11" s="19"/>
      <c r="Q11" s="19"/>
      <c r="R11" s="19"/>
      <c r="T11" s="128"/>
      <c r="U11" s="19"/>
      <c r="V11" s="19"/>
      <c r="W11" s="19"/>
    </row>
    <row r="12">
      <c r="B12" s="123" t="s">
        <v>109</v>
      </c>
      <c r="C12" s="124">
        <v>1513.93</v>
      </c>
      <c r="D12" s="124">
        <v>1823.42</v>
      </c>
      <c r="E12" s="124">
        <v>1438.02</v>
      </c>
      <c r="F12" s="125">
        <v>919.96</v>
      </c>
      <c r="G12" s="125">
        <v>439.24</v>
      </c>
      <c r="J12" s="104" t="s">
        <v>110</v>
      </c>
      <c r="K12" s="38">
        <f t="shared" ref="K12:M12" si="12">(K8-K10)</f>
        <v>15443.8</v>
      </c>
      <c r="L12" s="38">
        <f t="shared" si="12"/>
        <v>12607.25</v>
      </c>
      <c r="M12" s="38">
        <f t="shared" si="12"/>
        <v>9144.34</v>
      </c>
      <c r="N12" s="129"/>
      <c r="O12" s="130" t="s">
        <v>110</v>
      </c>
      <c r="P12" s="35">
        <f t="shared" ref="P12:R12" si="13">K12/K5</f>
        <v>0.2305314188</v>
      </c>
      <c r="Q12" s="35">
        <f t="shared" si="13"/>
        <v>0.1992537969</v>
      </c>
      <c r="R12" s="35">
        <f t="shared" si="13"/>
        <v>0.161711918</v>
      </c>
      <c r="T12" s="104" t="s">
        <v>110</v>
      </c>
      <c r="U12" s="35">
        <f t="shared" ref="U12:V12" si="14">(K12-L12)/L12</f>
        <v>0.2249935553</v>
      </c>
      <c r="V12" s="35">
        <f t="shared" si="14"/>
        <v>0.3786943618</v>
      </c>
      <c r="W12" s="19"/>
    </row>
    <row r="13">
      <c r="B13" s="117" t="s">
        <v>100</v>
      </c>
      <c r="C13" s="118">
        <v>66992.17</v>
      </c>
      <c r="D13" s="118">
        <v>63272.32</v>
      </c>
      <c r="E13" s="118">
        <v>56547.1</v>
      </c>
      <c r="F13" s="118">
        <v>43735.63</v>
      </c>
      <c r="G13" s="118">
        <v>32907.34</v>
      </c>
      <c r="J13" s="122"/>
      <c r="K13" s="131"/>
      <c r="L13" s="131"/>
      <c r="M13" s="131"/>
      <c r="N13" s="129"/>
      <c r="O13" s="132"/>
      <c r="P13" s="19"/>
      <c r="Q13" s="19"/>
      <c r="R13" s="19"/>
      <c r="T13" s="112"/>
      <c r="U13" s="19"/>
      <c r="V13" s="19"/>
      <c r="W13" s="19"/>
    </row>
    <row r="14">
      <c r="B14" s="110" t="s">
        <v>111</v>
      </c>
      <c r="C14" s="111"/>
      <c r="D14" s="111"/>
      <c r="E14" s="111"/>
      <c r="F14" s="111"/>
      <c r="G14" s="111"/>
      <c r="J14" s="104" t="s">
        <v>112</v>
      </c>
      <c r="K14" s="38">
        <f t="shared" ref="K14:M14" si="15">C23</f>
        <v>4116.86</v>
      </c>
      <c r="L14" s="38">
        <f t="shared" si="15"/>
        <v>3786.37</v>
      </c>
      <c r="M14" s="38">
        <f t="shared" si="15"/>
        <v>3439.2</v>
      </c>
      <c r="N14" s="121"/>
      <c r="O14" s="104" t="s">
        <v>112</v>
      </c>
      <c r="P14" s="35">
        <f t="shared" ref="P14:R14" si="16">K14/K5</f>
        <v>0.06145285337</v>
      </c>
      <c r="Q14" s="35">
        <f t="shared" si="16"/>
        <v>0.05984243979</v>
      </c>
      <c r="R14" s="35">
        <f t="shared" si="16"/>
        <v>0.06082009511</v>
      </c>
      <c r="T14" s="104" t="s">
        <v>112</v>
      </c>
      <c r="U14" s="35">
        <f t="shared" ref="U14:V14" si="17">(K14-L14)/L14</f>
        <v>0.08728412701</v>
      </c>
      <c r="V14" s="35">
        <f t="shared" si="17"/>
        <v>0.1009449872</v>
      </c>
      <c r="W14" s="19"/>
    </row>
    <row r="15">
      <c r="B15" s="123" t="s">
        <v>113</v>
      </c>
      <c r="C15" s="124">
        <v>4921.46</v>
      </c>
      <c r="D15" s="124">
        <v>5439.86</v>
      </c>
      <c r="E15" s="124">
        <v>3882.3</v>
      </c>
      <c r="F15" s="124">
        <v>3832.83</v>
      </c>
      <c r="G15" s="124">
        <v>2628.19</v>
      </c>
      <c r="J15" s="122"/>
      <c r="K15" s="131"/>
      <c r="L15" s="131"/>
      <c r="M15" s="131"/>
      <c r="N15" s="129"/>
      <c r="O15" s="132"/>
      <c r="P15" s="19"/>
      <c r="Q15" s="19"/>
      <c r="R15" s="19"/>
      <c r="T15" s="112"/>
      <c r="U15" s="19"/>
      <c r="V15" s="19"/>
      <c r="W15" s="19"/>
    </row>
    <row r="16">
      <c r="B16" s="123" t="s">
        <v>114</v>
      </c>
      <c r="C16" s="125">
        <v>31.84</v>
      </c>
      <c r="D16" s="125">
        <v>39.89</v>
      </c>
      <c r="E16" s="125">
        <v>56.15</v>
      </c>
      <c r="F16" s="125">
        <v>49.11</v>
      </c>
      <c r="G16" s="125">
        <v>28.89</v>
      </c>
      <c r="J16" s="104" t="s">
        <v>115</v>
      </c>
      <c r="K16" s="38">
        <f t="shared" ref="K16:M16" si="18">(K12-K14)</f>
        <v>11326.94</v>
      </c>
      <c r="L16" s="38">
        <f t="shared" si="18"/>
        <v>8820.88</v>
      </c>
      <c r="M16" s="38">
        <f t="shared" si="18"/>
        <v>5705.14</v>
      </c>
      <c r="N16" s="129"/>
      <c r="O16" s="130" t="s">
        <v>115</v>
      </c>
      <c r="P16" s="35">
        <f t="shared" ref="P16:R16" si="19">K16/K5</f>
        <v>0.1690785655</v>
      </c>
      <c r="Q16" s="35">
        <f t="shared" si="19"/>
        <v>0.1394113571</v>
      </c>
      <c r="R16" s="35">
        <f t="shared" si="19"/>
        <v>0.1008918229</v>
      </c>
      <c r="T16" s="104" t="s">
        <v>115</v>
      </c>
      <c r="U16" s="35">
        <f t="shared" ref="U16:V16" si="20">(K16-L16)/L16</f>
        <v>0.2841054407</v>
      </c>
      <c r="V16" s="35">
        <f t="shared" si="20"/>
        <v>0.5461285788</v>
      </c>
      <c r="W16" s="19"/>
    </row>
    <row r="17">
      <c r="B17" s="123" t="s">
        <v>116</v>
      </c>
      <c r="C17" s="124">
        <v>20523.61</v>
      </c>
      <c r="D17" s="124">
        <v>20014.46</v>
      </c>
      <c r="E17" s="124">
        <v>19062.67</v>
      </c>
      <c r="F17" s="124">
        <v>14640.62</v>
      </c>
      <c r="G17" s="124">
        <v>8334.41</v>
      </c>
      <c r="J17" s="122"/>
      <c r="K17" s="131"/>
      <c r="L17" s="131"/>
      <c r="M17" s="131"/>
      <c r="N17" s="129"/>
      <c r="O17" s="132"/>
      <c r="P17" s="19"/>
      <c r="Q17" s="19"/>
      <c r="R17" s="19"/>
      <c r="T17" s="112"/>
      <c r="U17" s="19"/>
      <c r="V17" s="19"/>
      <c r="W17" s="19"/>
    </row>
    <row r="18">
      <c r="B18" s="123" t="s">
        <v>117</v>
      </c>
      <c r="C18" s="124">
        <v>13918.47</v>
      </c>
      <c r="D18" s="124">
        <v>14130.47</v>
      </c>
      <c r="E18" s="124">
        <v>13763.59</v>
      </c>
      <c r="F18" s="124">
        <v>8290.92</v>
      </c>
      <c r="G18" s="124">
        <v>9074.96</v>
      </c>
      <c r="J18" s="104" t="s">
        <v>118</v>
      </c>
      <c r="K18" s="38">
        <f t="shared" ref="K18:M18" si="21">C22</f>
        <v>4702.44</v>
      </c>
      <c r="L18" s="38">
        <f t="shared" si="21"/>
        <v>4633.22</v>
      </c>
      <c r="M18" s="38">
        <f t="shared" si="21"/>
        <v>4371.65</v>
      </c>
      <c r="N18" s="127"/>
      <c r="O18" s="104" t="s">
        <v>118</v>
      </c>
      <c r="P18" s="35">
        <f t="shared" ref="P18:R18" si="22">K18/K5</f>
        <v>0.0701938749</v>
      </c>
      <c r="Q18" s="35">
        <f t="shared" si="22"/>
        <v>0.0732266495</v>
      </c>
      <c r="R18" s="35">
        <f t="shared" si="22"/>
        <v>0.07730988857</v>
      </c>
      <c r="T18" s="104" t="s">
        <v>118</v>
      </c>
      <c r="U18" s="35">
        <f t="shared" ref="U18:V18" si="23">(K18-L18)/L18</f>
        <v>0.01493993378</v>
      </c>
      <c r="V18" s="35">
        <f t="shared" si="23"/>
        <v>0.05983324374</v>
      </c>
      <c r="W18" s="19"/>
    </row>
    <row r="19">
      <c r="B19" s="123" t="s">
        <v>119</v>
      </c>
      <c r="C19" s="124">
        <v>1277.81</v>
      </c>
      <c r="D19" s="124">
        <v>1168.69</v>
      </c>
      <c r="E19" s="124">
        <v>1194.95</v>
      </c>
      <c r="F19" s="124">
        <v>1018.19</v>
      </c>
      <c r="G19" s="125">
        <v>504.6</v>
      </c>
      <c r="J19" s="122"/>
      <c r="K19" s="131"/>
      <c r="L19" s="131"/>
      <c r="M19" s="131"/>
      <c r="N19" s="121"/>
      <c r="O19" s="122"/>
      <c r="P19" s="19"/>
      <c r="Q19" s="19"/>
      <c r="R19" s="19"/>
      <c r="T19" s="112"/>
      <c r="U19" s="19"/>
      <c r="V19" s="19"/>
      <c r="W19" s="19"/>
    </row>
    <row r="20">
      <c r="B20" s="123" t="s">
        <v>120</v>
      </c>
      <c r="C20" s="125">
        <v>-440.76</v>
      </c>
      <c r="D20" s="125">
        <v>-51.78</v>
      </c>
      <c r="E20" s="125">
        <v>43.53</v>
      </c>
      <c r="F20" s="125">
        <v>-199.22</v>
      </c>
      <c r="G20" s="125">
        <v>0.41</v>
      </c>
      <c r="J20" s="108" t="s">
        <v>121</v>
      </c>
      <c r="K20" s="38">
        <f t="shared" ref="K20:M20" si="24">C25</f>
        <v>60367.67</v>
      </c>
      <c r="L20" s="38">
        <f t="shared" si="24"/>
        <v>59084.66</v>
      </c>
      <c r="M20" s="38">
        <f t="shared" si="24"/>
        <v>55213.61</v>
      </c>
      <c r="N20" s="129"/>
      <c r="O20" s="133" t="s">
        <v>121</v>
      </c>
      <c r="P20" s="35">
        <f t="shared" ref="P20:R20" si="25">K20/K5</f>
        <v>0.9011153094</v>
      </c>
      <c r="Q20" s="35">
        <f t="shared" si="25"/>
        <v>0.9338152924</v>
      </c>
      <c r="R20" s="35">
        <f t="shared" si="25"/>
        <v>0.9764180656</v>
      </c>
      <c r="T20" s="108" t="s">
        <v>121</v>
      </c>
      <c r="U20" s="35">
        <f t="shared" ref="U20:V20" si="26">(K20-L20)/L20</f>
        <v>0.02171477334</v>
      </c>
      <c r="V20" s="35">
        <f t="shared" si="26"/>
        <v>0.07011043111</v>
      </c>
      <c r="W20" s="19"/>
    </row>
    <row r="21">
      <c r="B21" s="123" t="s">
        <v>122</v>
      </c>
      <c r="C21" s="124">
        <v>4372.92</v>
      </c>
      <c r="D21" s="124">
        <v>4036.09</v>
      </c>
      <c r="E21" s="124">
        <v>3624.26</v>
      </c>
      <c r="F21" s="124">
        <v>3611.63</v>
      </c>
      <c r="G21" s="124">
        <v>2156.48</v>
      </c>
      <c r="J21" s="104" t="s">
        <v>123</v>
      </c>
      <c r="K21" s="38">
        <v>5526.29</v>
      </c>
      <c r="L21" s="38">
        <v>4554.45</v>
      </c>
      <c r="M21" s="38">
        <v>2257.54</v>
      </c>
      <c r="N21" s="121"/>
      <c r="O21" s="104" t="s">
        <v>123</v>
      </c>
      <c r="P21" s="35">
        <f t="shared" ref="P21:R21" si="27">K21/K5</f>
        <v>0.08249158073</v>
      </c>
      <c r="Q21" s="35">
        <f t="shared" si="27"/>
        <v>0.07198171333</v>
      </c>
      <c r="R21" s="35">
        <f t="shared" si="27"/>
        <v>0.03992317908</v>
      </c>
      <c r="T21" s="104" t="s">
        <v>123</v>
      </c>
      <c r="U21" s="35">
        <f t="shared" ref="U21:V21" si="28">(K21-L21)/L21</f>
        <v>0.213382516</v>
      </c>
      <c r="V21" s="35">
        <f t="shared" si="28"/>
        <v>1.017439337</v>
      </c>
      <c r="W21" s="19"/>
    </row>
    <row r="22">
      <c r="B22" s="123" t="s">
        <v>124</v>
      </c>
      <c r="C22" s="124">
        <v>4702.44</v>
      </c>
      <c r="D22" s="124">
        <v>4633.22</v>
      </c>
      <c r="E22" s="124">
        <v>4371.65</v>
      </c>
      <c r="F22" s="124">
        <v>3859.02</v>
      </c>
      <c r="G22" s="124">
        <v>4010.39</v>
      </c>
      <c r="J22" s="122"/>
      <c r="K22" s="131"/>
      <c r="L22" s="131"/>
      <c r="M22" s="131"/>
      <c r="N22" s="129"/>
      <c r="O22" s="132"/>
      <c r="P22" s="19"/>
      <c r="Q22" s="19"/>
      <c r="R22" s="19"/>
      <c r="T22" s="112"/>
      <c r="U22" s="19"/>
      <c r="V22" s="19"/>
      <c r="W22" s="19"/>
    </row>
    <row r="23">
      <c r="B23" s="123" t="s">
        <v>125</v>
      </c>
      <c r="C23" s="124">
        <v>4116.86</v>
      </c>
      <c r="D23" s="124">
        <v>3786.37</v>
      </c>
      <c r="E23" s="124">
        <v>3439.2</v>
      </c>
      <c r="F23" s="124">
        <v>3122.2</v>
      </c>
      <c r="G23" s="124">
        <v>2744.94</v>
      </c>
      <c r="J23" s="104" t="s">
        <v>126</v>
      </c>
      <c r="K23" s="131"/>
      <c r="L23" s="131"/>
      <c r="M23" s="131"/>
      <c r="N23" s="121"/>
      <c r="O23" s="104" t="s">
        <v>126</v>
      </c>
      <c r="P23" s="19"/>
      <c r="Q23" s="19"/>
      <c r="R23" s="19"/>
      <c r="T23" s="104" t="s">
        <v>126</v>
      </c>
      <c r="U23" s="19"/>
      <c r="V23" s="19"/>
      <c r="W23" s="19"/>
    </row>
    <row r="24">
      <c r="B24" s="123" t="s">
        <v>127</v>
      </c>
      <c r="C24" s="124">
        <v>6943.02</v>
      </c>
      <c r="D24" s="124">
        <v>5887.39</v>
      </c>
      <c r="E24" s="124">
        <v>5775.31</v>
      </c>
      <c r="F24" s="124">
        <v>4060.42</v>
      </c>
      <c r="G24" s="124">
        <v>2812.48</v>
      </c>
      <c r="J24" s="108" t="s">
        <v>128</v>
      </c>
      <c r="K24" s="34">
        <v>667.37</v>
      </c>
      <c r="L24" s="34">
        <v>871.47</v>
      </c>
      <c r="M24" s="34">
        <v>804.33</v>
      </c>
      <c r="N24" s="121"/>
      <c r="O24" s="108" t="s">
        <v>128</v>
      </c>
      <c r="P24" s="35">
        <f t="shared" ref="P24:R24" si="29">K24/K5</f>
        <v>0.009961910474</v>
      </c>
      <c r="Q24" s="35">
        <f t="shared" si="29"/>
        <v>0.01377332141</v>
      </c>
      <c r="R24" s="35">
        <f t="shared" si="29"/>
        <v>0.01422407161</v>
      </c>
      <c r="T24" s="108" t="s">
        <v>128</v>
      </c>
      <c r="U24" s="35">
        <f t="shared" ref="U24:V24" si="30">(K24-L24)/L24</f>
        <v>-0.2342019806</v>
      </c>
      <c r="V24" s="35">
        <f t="shared" si="30"/>
        <v>0.0834732013</v>
      </c>
      <c r="W24" s="19"/>
    </row>
    <row r="25">
      <c r="B25" s="117" t="s">
        <v>121</v>
      </c>
      <c r="C25" s="118">
        <v>60367.67</v>
      </c>
      <c r="D25" s="118">
        <v>59084.66</v>
      </c>
      <c r="E25" s="118">
        <v>55213.61</v>
      </c>
      <c r="F25" s="118">
        <v>42285.72</v>
      </c>
      <c r="G25" s="118">
        <v>32295.75</v>
      </c>
      <c r="J25" s="108" t="s">
        <v>129</v>
      </c>
      <c r="K25" s="34">
        <v>567.05</v>
      </c>
      <c r="L25" s="34">
        <v>725.85</v>
      </c>
      <c r="M25" s="38">
        <v>1010.3</v>
      </c>
      <c r="N25" s="121"/>
      <c r="O25" s="108" t="s">
        <v>130</v>
      </c>
      <c r="P25" s="35">
        <f t="shared" ref="P25:R25" si="31">K25/K5</f>
        <v>0.008464422036</v>
      </c>
      <c r="Q25" s="35">
        <f t="shared" si="31"/>
        <v>0.01147184108</v>
      </c>
      <c r="R25" s="35">
        <f t="shared" si="31"/>
        <v>0.01786652189</v>
      </c>
      <c r="T25" s="108" t="s">
        <v>130</v>
      </c>
      <c r="U25" s="35">
        <f t="shared" ref="U25:V25" si="32">(K25-L25)/L25</f>
        <v>-0.2187779844</v>
      </c>
      <c r="V25" s="35">
        <f t="shared" si="32"/>
        <v>-0.2815500346</v>
      </c>
      <c r="W25" s="19"/>
    </row>
    <row r="26">
      <c r="B26" s="117" t="s">
        <v>131</v>
      </c>
      <c r="C26" s="118">
        <v>6624.5</v>
      </c>
      <c r="D26" s="118">
        <v>4187.66</v>
      </c>
      <c r="E26" s="118">
        <v>1333.49</v>
      </c>
      <c r="F26" s="118">
        <v>1449.91</v>
      </c>
      <c r="G26" s="134">
        <v>611.59</v>
      </c>
      <c r="J26" s="108" t="s">
        <v>132</v>
      </c>
      <c r="K26" s="34">
        <v>309.83</v>
      </c>
      <c r="L26" s="34">
        <v>-145.4</v>
      </c>
      <c r="M26" s="34">
        <v>-167.3</v>
      </c>
      <c r="N26" s="121"/>
      <c r="O26" s="108" t="s">
        <v>132</v>
      </c>
      <c r="P26" s="35">
        <f t="shared" ref="P26:R26" si="33">K26/K5</f>
        <v>0.004624868847</v>
      </c>
      <c r="Q26" s="35">
        <f t="shared" si="33"/>
        <v>-0.002298003297</v>
      </c>
      <c r="R26" s="35">
        <f t="shared" si="33"/>
        <v>-0.002958595578</v>
      </c>
      <c r="T26" s="108" t="s">
        <v>133</v>
      </c>
      <c r="U26" s="35">
        <f t="shared" ref="U26:V26" si="34">(K26-L26)/L26</f>
        <v>-3.13088033</v>
      </c>
      <c r="V26" s="35">
        <f t="shared" si="34"/>
        <v>-0.1309025702</v>
      </c>
      <c r="W26" s="19"/>
    </row>
    <row r="27">
      <c r="B27" s="123" t="s">
        <v>134</v>
      </c>
      <c r="C27" s="124">
        <v>-1098.21</v>
      </c>
      <c r="D27" s="125">
        <v>366.79</v>
      </c>
      <c r="E27" s="125">
        <v>924.05</v>
      </c>
      <c r="F27" s="125">
        <v>-389.74</v>
      </c>
      <c r="G27" s="125">
        <v>501.75</v>
      </c>
      <c r="J27" s="108" t="s">
        <v>135</v>
      </c>
      <c r="K27" s="135">
        <v>1544.25</v>
      </c>
      <c r="L27" s="135">
        <v>1451.92</v>
      </c>
      <c r="M27" s="135">
        <v>1647.33</v>
      </c>
      <c r="N27" s="121"/>
      <c r="O27" s="108" t="s">
        <v>135</v>
      </c>
      <c r="P27" s="136">
        <f t="shared" ref="P27:R27" si="35">K27/K5</f>
        <v>0.02305120136</v>
      </c>
      <c r="Q27" s="136">
        <f t="shared" si="35"/>
        <v>0.0229471592</v>
      </c>
      <c r="R27" s="136">
        <f t="shared" si="35"/>
        <v>0.02913199793</v>
      </c>
      <c r="T27" s="108" t="s">
        <v>135</v>
      </c>
      <c r="U27" s="136">
        <f t="shared" ref="U27:V27" si="36">(K27-L27)/L27</f>
        <v>0.06359165794</v>
      </c>
      <c r="V27" s="136">
        <f t="shared" si="36"/>
        <v>-0.1186222554</v>
      </c>
      <c r="W27" s="19"/>
    </row>
    <row r="28">
      <c r="B28" s="117" t="s">
        <v>136</v>
      </c>
      <c r="C28" s="118">
        <v>5526.29</v>
      </c>
      <c r="D28" s="118">
        <v>4554.45</v>
      </c>
      <c r="E28" s="118">
        <v>2257.54</v>
      </c>
      <c r="F28" s="118">
        <v>1060.17</v>
      </c>
      <c r="G28" s="118">
        <v>1113.34</v>
      </c>
      <c r="J28" s="104" t="s">
        <v>137</v>
      </c>
      <c r="K28" s="38">
        <f t="shared" ref="K28:M28" si="37">(K21-K27)</f>
        <v>3982.04</v>
      </c>
      <c r="L28" s="38">
        <f t="shared" si="37"/>
        <v>3102.53</v>
      </c>
      <c r="M28" s="38">
        <f t="shared" si="37"/>
        <v>610.21</v>
      </c>
      <c r="N28" s="129"/>
      <c r="O28" s="130" t="s">
        <v>137</v>
      </c>
      <c r="P28" s="35">
        <f t="shared" ref="P28:R28" si="38">K28/K5</f>
        <v>0.05944037938</v>
      </c>
      <c r="Q28" s="35">
        <f t="shared" si="38"/>
        <v>0.04903455413</v>
      </c>
      <c r="R28" s="35">
        <f t="shared" si="38"/>
        <v>0.01079118116</v>
      </c>
      <c r="T28" s="104" t="s">
        <v>137</v>
      </c>
      <c r="U28" s="35">
        <f t="shared" ref="U28:V28" si="39">(K28-L28)/L28</f>
        <v>0.2834815457</v>
      </c>
      <c r="V28" s="35">
        <f t="shared" si="39"/>
        <v>4.084364399</v>
      </c>
      <c r="W28" s="19"/>
    </row>
    <row r="29">
      <c r="B29" s="110" t="s">
        <v>138</v>
      </c>
      <c r="C29" s="111"/>
      <c r="D29" s="111"/>
      <c r="E29" s="111"/>
      <c r="F29" s="111"/>
      <c r="G29" s="111"/>
      <c r="J29" s="137"/>
      <c r="K29" s="138"/>
      <c r="L29" s="127"/>
      <c r="M29" s="127"/>
      <c r="N29" s="127"/>
      <c r="O29" s="127"/>
    </row>
    <row r="30">
      <c r="B30" s="123" t="s">
        <v>128</v>
      </c>
      <c r="C30" s="125">
        <v>667.37</v>
      </c>
      <c r="D30" s="125">
        <v>871.47</v>
      </c>
      <c r="E30" s="125">
        <v>804.33</v>
      </c>
      <c r="F30" s="125">
        <v>580.3</v>
      </c>
      <c r="G30" s="125">
        <v>647.57</v>
      </c>
      <c r="J30" s="139"/>
      <c r="K30" s="129"/>
      <c r="L30" s="129"/>
      <c r="M30" s="129"/>
      <c r="N30" s="129"/>
      <c r="O30" s="129"/>
    </row>
    <row r="31">
      <c r="B31" s="123" t="s">
        <v>129</v>
      </c>
      <c r="C31" s="125">
        <v>567.05</v>
      </c>
      <c r="D31" s="125">
        <v>725.85</v>
      </c>
      <c r="E31" s="124">
        <v>1010.3</v>
      </c>
      <c r="F31" s="125">
        <v>492.93</v>
      </c>
      <c r="G31" s="125">
        <v>-145.69</v>
      </c>
      <c r="J31" s="139"/>
      <c r="K31" s="121"/>
      <c r="L31" s="121"/>
      <c r="M31" s="121"/>
      <c r="N31" s="121"/>
      <c r="O31" s="121"/>
    </row>
    <row r="32">
      <c r="B32" s="123" t="s">
        <v>132</v>
      </c>
      <c r="C32" s="125">
        <v>309.83</v>
      </c>
      <c r="D32" s="125">
        <v>-145.4</v>
      </c>
      <c r="E32" s="125">
        <v>-167.3</v>
      </c>
      <c r="F32" s="125">
        <v>-693.67</v>
      </c>
      <c r="G32" s="125">
        <v>0.0</v>
      </c>
      <c r="J32" s="139"/>
      <c r="K32" s="129"/>
      <c r="L32" s="129"/>
      <c r="M32" s="129"/>
      <c r="N32" s="129"/>
      <c r="O32" s="129"/>
    </row>
    <row r="33">
      <c r="B33" s="117" t="s">
        <v>135</v>
      </c>
      <c r="C33" s="118">
        <v>1544.25</v>
      </c>
      <c r="D33" s="118">
        <v>1451.92</v>
      </c>
      <c r="E33" s="118">
        <v>1647.33</v>
      </c>
      <c r="F33" s="134">
        <v>379.56</v>
      </c>
      <c r="G33" s="134">
        <v>501.88</v>
      </c>
      <c r="J33" s="139"/>
      <c r="K33" s="129"/>
      <c r="L33" s="129"/>
      <c r="M33" s="129"/>
      <c r="N33" s="129"/>
      <c r="O33" s="129"/>
    </row>
    <row r="34">
      <c r="B34" s="117" t="s">
        <v>139</v>
      </c>
      <c r="C34" s="118">
        <v>3982.04</v>
      </c>
      <c r="D34" s="118">
        <v>3102.53</v>
      </c>
      <c r="E34" s="134">
        <v>610.21</v>
      </c>
      <c r="F34" s="134">
        <v>680.61</v>
      </c>
      <c r="G34" s="134">
        <v>611.46</v>
      </c>
      <c r="J34" s="139"/>
      <c r="K34" s="129"/>
      <c r="L34" s="129"/>
      <c r="M34" s="129"/>
      <c r="N34" s="129"/>
      <c r="O34" s="129"/>
    </row>
    <row r="35">
      <c r="B35" s="117" t="s">
        <v>140</v>
      </c>
      <c r="C35" s="118">
        <v>3982.04</v>
      </c>
      <c r="D35" s="118">
        <v>3102.53</v>
      </c>
      <c r="E35" s="134">
        <v>610.21</v>
      </c>
      <c r="F35" s="134">
        <v>680.61</v>
      </c>
      <c r="G35" s="134">
        <v>611.46</v>
      </c>
      <c r="J35" s="139"/>
      <c r="K35" s="129"/>
      <c r="L35" s="129"/>
      <c r="M35" s="129"/>
      <c r="N35" s="129"/>
      <c r="O35" s="129"/>
    </row>
    <row r="36">
      <c r="B36" s="123" t="s">
        <v>141</v>
      </c>
      <c r="C36" s="125">
        <v>0.0</v>
      </c>
      <c r="D36" s="125">
        <v>0.0</v>
      </c>
      <c r="E36" s="125">
        <v>0.0</v>
      </c>
      <c r="F36" s="125">
        <v>-467.83</v>
      </c>
      <c r="G36" s="125">
        <v>-219.85</v>
      </c>
      <c r="J36" s="139"/>
      <c r="K36" s="121"/>
      <c r="L36" s="121"/>
      <c r="M36" s="121"/>
      <c r="N36" s="121"/>
      <c r="O36" s="121"/>
    </row>
    <row r="37">
      <c r="B37" s="123" t="s">
        <v>142</v>
      </c>
      <c r="C37" s="125">
        <v>0.0</v>
      </c>
      <c r="D37" s="125">
        <v>0.0</v>
      </c>
      <c r="E37" s="125">
        <v>0.0</v>
      </c>
      <c r="F37" s="125">
        <v>0.0</v>
      </c>
      <c r="G37" s="125">
        <v>-173.65</v>
      </c>
      <c r="J37" s="139"/>
      <c r="K37" s="121"/>
      <c r="L37" s="121"/>
      <c r="M37" s="121"/>
      <c r="N37" s="121"/>
      <c r="O37" s="121"/>
    </row>
    <row r="38">
      <c r="B38" s="123" t="s">
        <v>143</v>
      </c>
      <c r="C38" s="125">
        <v>0.0</v>
      </c>
      <c r="D38" s="125">
        <v>0.0</v>
      </c>
      <c r="E38" s="125">
        <v>0.0</v>
      </c>
      <c r="F38" s="125">
        <v>-467.83</v>
      </c>
      <c r="G38" s="125">
        <v>-46.2</v>
      </c>
      <c r="J38" s="139"/>
      <c r="K38" s="129"/>
      <c r="L38" s="129"/>
      <c r="M38" s="129"/>
      <c r="N38" s="129"/>
      <c r="O38" s="129"/>
    </row>
    <row r="39">
      <c r="B39" s="117" t="s">
        <v>144</v>
      </c>
      <c r="C39" s="118">
        <v>3982.04</v>
      </c>
      <c r="D39" s="118">
        <v>3102.53</v>
      </c>
      <c r="E39" s="134">
        <v>610.21</v>
      </c>
      <c r="F39" s="134">
        <v>212.78</v>
      </c>
      <c r="G39" s="134">
        <v>565.26</v>
      </c>
      <c r="J39" s="137"/>
      <c r="K39" s="138"/>
      <c r="L39" s="127"/>
      <c r="M39" s="127"/>
      <c r="N39" s="127"/>
      <c r="O39" s="127"/>
    </row>
    <row r="40">
      <c r="B40" s="123" t="s">
        <v>25</v>
      </c>
      <c r="C40" s="125">
        <v>-804.37</v>
      </c>
      <c r="D40" s="125">
        <v>-583.85</v>
      </c>
      <c r="E40" s="125">
        <v>-473.23</v>
      </c>
      <c r="F40" s="125">
        <v>-414.15</v>
      </c>
      <c r="G40" s="125">
        <v>-311.27</v>
      </c>
      <c r="J40" s="137"/>
      <c r="K40" s="138"/>
      <c r="L40" s="127"/>
      <c r="M40" s="127"/>
      <c r="N40" s="127"/>
      <c r="O40" s="127"/>
    </row>
    <row r="41">
      <c r="B41" s="123" t="s">
        <v>145</v>
      </c>
      <c r="C41" s="125">
        <v>793.33</v>
      </c>
      <c r="D41" s="124">
        <v>1177.57</v>
      </c>
      <c r="E41" s="124">
        <v>3199.46</v>
      </c>
      <c r="F41" s="124">
        <v>1942.83</v>
      </c>
      <c r="G41" s="125">
        <v>873.39</v>
      </c>
      <c r="J41" s="139"/>
      <c r="K41" s="121"/>
      <c r="L41" s="121"/>
      <c r="M41" s="121"/>
      <c r="N41" s="121"/>
      <c r="O41" s="121"/>
    </row>
    <row r="42">
      <c r="B42" s="117" t="s">
        <v>146</v>
      </c>
      <c r="C42" s="118">
        <v>3971.0</v>
      </c>
      <c r="D42" s="118">
        <v>3696.25</v>
      </c>
      <c r="E42" s="118">
        <v>3336.44</v>
      </c>
      <c r="F42" s="118">
        <v>1741.46</v>
      </c>
      <c r="G42" s="118">
        <v>1127.38</v>
      </c>
      <c r="J42" s="139"/>
      <c r="K42" s="121"/>
      <c r="L42" s="121"/>
      <c r="M42" s="121"/>
      <c r="N42" s="121"/>
      <c r="O42" s="121"/>
    </row>
    <row r="43">
      <c r="B43" s="140" t="s">
        <v>147</v>
      </c>
      <c r="C43" s="141"/>
      <c r="D43" s="141"/>
      <c r="E43" s="141"/>
      <c r="F43" s="141"/>
      <c r="G43" s="141"/>
      <c r="J43" s="137"/>
      <c r="K43" s="138"/>
      <c r="L43" s="127"/>
      <c r="M43" s="127"/>
      <c r="N43" s="127"/>
      <c r="O43" s="127"/>
    </row>
    <row r="44">
      <c r="B44" s="142" t="s">
        <v>148</v>
      </c>
      <c r="C44" s="141"/>
      <c r="D44" s="98"/>
      <c r="E44" s="98"/>
      <c r="F44" s="111"/>
      <c r="G44" s="111"/>
      <c r="J44" s="139"/>
      <c r="K44" s="129"/>
      <c r="L44" s="121"/>
      <c r="M44" s="121"/>
      <c r="N44" s="129"/>
      <c r="O44" s="121"/>
    </row>
    <row r="45">
      <c r="B45" s="143" t="s">
        <v>149</v>
      </c>
      <c r="C45" s="103">
        <v>12.0</v>
      </c>
      <c r="D45" s="125">
        <v>12.0</v>
      </c>
      <c r="E45" s="125">
        <v>10.0</v>
      </c>
      <c r="F45" s="125">
        <v>5.0</v>
      </c>
      <c r="G45" s="125">
        <v>3.0</v>
      </c>
    </row>
    <row r="46">
      <c r="B46" s="143" t="s">
        <v>150</v>
      </c>
      <c r="C46" s="103">
        <v>12.0</v>
      </c>
      <c r="D46" s="125">
        <v>12.0</v>
      </c>
      <c r="E46" s="125">
        <v>10.0</v>
      </c>
      <c r="F46" s="125">
        <v>5.0</v>
      </c>
      <c r="G46" s="125">
        <v>3.0</v>
      </c>
    </row>
    <row r="47">
      <c r="B47" s="142" t="s">
        <v>151</v>
      </c>
      <c r="C47" s="141"/>
      <c r="D47" s="141"/>
      <c r="E47" s="141"/>
      <c r="F47" s="141"/>
      <c r="G47" s="141"/>
    </row>
    <row r="48">
      <c r="B48" s="143" t="s">
        <v>152</v>
      </c>
      <c r="C48" s="103">
        <v>639.07</v>
      </c>
      <c r="D48" s="125">
        <v>639.07</v>
      </c>
      <c r="E48" s="125">
        <v>559.18</v>
      </c>
      <c r="F48" s="125">
        <v>495.28</v>
      </c>
      <c r="G48" s="125">
        <v>419.24</v>
      </c>
    </row>
    <row r="52">
      <c r="B52" s="144" t="s">
        <v>83</v>
      </c>
      <c r="C52" s="145"/>
      <c r="D52" s="62">
        <v>45741.0</v>
      </c>
      <c r="E52" s="146">
        <v>45740.0</v>
      </c>
      <c r="F52" s="62">
        <v>45739.0</v>
      </c>
      <c r="G52" s="145"/>
      <c r="H52" s="63" t="s">
        <v>84</v>
      </c>
    </row>
    <row r="53">
      <c r="B53" s="147"/>
      <c r="C53" s="65"/>
      <c r="D53" s="148"/>
      <c r="E53" s="149"/>
      <c r="F53" s="149"/>
      <c r="G53" s="65"/>
      <c r="H53" s="148"/>
    </row>
    <row r="54">
      <c r="B54" s="64" t="s">
        <v>153</v>
      </c>
      <c r="C54" s="149"/>
      <c r="D54" s="150">
        <f t="shared" ref="D54:E54" si="40">((K5/L5)-1)</f>
        <v>0.05879111118</v>
      </c>
      <c r="E54" s="150">
        <f t="shared" si="40"/>
        <v>0.118931298</v>
      </c>
      <c r="F54" s="149"/>
      <c r="G54" s="65"/>
      <c r="H54" s="151">
        <f>AVERAGE(D54,E54)</f>
        <v>0.08886120458</v>
      </c>
    </row>
    <row r="55">
      <c r="B55" s="64" t="s">
        <v>154</v>
      </c>
      <c r="C55" s="65"/>
      <c r="D55" s="151">
        <f t="shared" ref="D55:F55" si="41">K8/K5</f>
        <v>0.4185198061</v>
      </c>
      <c r="E55" s="151">
        <f t="shared" si="41"/>
        <v>0.3745622098</v>
      </c>
      <c r="F55" s="151">
        <f t="shared" si="41"/>
        <v>0.3490693599</v>
      </c>
      <c r="G55" s="65"/>
      <c r="H55" s="151">
        <f t="shared" ref="H55:H59" si="43">AVERAGE(D55:F55)</f>
        <v>0.3807171253</v>
      </c>
    </row>
    <row r="56">
      <c r="B56" s="64" t="s">
        <v>155</v>
      </c>
      <c r="C56" s="65"/>
      <c r="D56" s="151">
        <f t="shared" ref="D56:F56" si="42">K10/K5</f>
        <v>0.1879883873</v>
      </c>
      <c r="E56" s="151">
        <f t="shared" si="42"/>
        <v>0.1753084129</v>
      </c>
      <c r="F56" s="151">
        <f t="shared" si="42"/>
        <v>0.1873574418</v>
      </c>
      <c r="G56" s="65"/>
      <c r="H56" s="151">
        <f t="shared" si="43"/>
        <v>0.183551414</v>
      </c>
    </row>
    <row r="57">
      <c r="B57" s="64" t="s">
        <v>156</v>
      </c>
      <c r="C57" s="65"/>
      <c r="D57" s="151">
        <f>K14/'Balance Sheet'!C30</f>
        <v>0.05463557549</v>
      </c>
      <c r="E57" s="151">
        <f>L14/'Balance Sheet'!D30</f>
        <v>0.05916867848</v>
      </c>
      <c r="F57" s="151">
        <f>M14/'Balance Sheet'!E30</f>
        <v>0.05878269971</v>
      </c>
      <c r="G57" s="65"/>
      <c r="H57" s="151">
        <f t="shared" si="43"/>
        <v>0.05752898456</v>
      </c>
    </row>
    <row r="58">
      <c r="B58" s="64" t="s">
        <v>157</v>
      </c>
      <c r="C58" s="65"/>
      <c r="D58" s="151">
        <f>K18/'Balance Sheet'!C16</f>
        <v>0.1065594796</v>
      </c>
      <c r="E58" s="151">
        <f>L18/'Balance Sheet'!D16</f>
        <v>0.1239085639</v>
      </c>
      <c r="F58" s="151">
        <f>M18/'Balance Sheet'!E16</f>
        <v>0.1423596536</v>
      </c>
      <c r="G58" s="65"/>
      <c r="H58" s="151">
        <f t="shared" si="43"/>
        <v>0.1242758991</v>
      </c>
    </row>
    <row r="59">
      <c r="B59" s="68" t="s">
        <v>158</v>
      </c>
      <c r="C59" s="69"/>
      <c r="D59" s="152">
        <f t="shared" ref="D59:F59" si="44">K24/K21</f>
        <v>0.120762754</v>
      </c>
      <c r="E59" s="152">
        <f t="shared" si="44"/>
        <v>0.1913447288</v>
      </c>
      <c r="F59" s="152">
        <f t="shared" si="44"/>
        <v>0.3562860459</v>
      </c>
      <c r="G59" s="69"/>
      <c r="H59" s="151">
        <f t="shared" si="43"/>
        <v>0.2227978429</v>
      </c>
    </row>
    <row r="60">
      <c r="B60" s="10"/>
      <c r="C60" s="10"/>
      <c r="D60" s="10"/>
      <c r="E60" s="10"/>
      <c r="F60" s="10"/>
      <c r="G60" s="10"/>
      <c r="H60" s="10"/>
    </row>
    <row r="61">
      <c r="B61" s="153" t="s">
        <v>159</v>
      </c>
      <c r="C61" s="154">
        <v>45746.0</v>
      </c>
      <c r="D61" s="155">
        <v>45745.0</v>
      </c>
      <c r="E61" s="154">
        <v>45744.0</v>
      </c>
      <c r="F61" s="155">
        <v>45743.0</v>
      </c>
      <c r="G61" s="73">
        <v>45742.0</v>
      </c>
      <c r="H61" s="73">
        <v>45741.0</v>
      </c>
    </row>
    <row r="62">
      <c r="B62" s="74" t="s">
        <v>160</v>
      </c>
      <c r="C62" s="156"/>
      <c r="D62" s="157"/>
      <c r="E62" s="156"/>
      <c r="F62" s="157"/>
      <c r="G62" s="158"/>
      <c r="H62" s="158"/>
    </row>
    <row r="63">
      <c r="B63" s="159" t="s">
        <v>100</v>
      </c>
      <c r="C63" s="77">
        <f t="shared" ref="C63:G63" si="45">D63*(1+$H$54)</f>
        <v>102538.431</v>
      </c>
      <c r="D63" s="77">
        <f t="shared" si="45"/>
        <v>94170.34108</v>
      </c>
      <c r="E63" s="77">
        <f t="shared" si="45"/>
        <v>86485.16513</v>
      </c>
      <c r="F63" s="77">
        <f t="shared" si="45"/>
        <v>79427.17104</v>
      </c>
      <c r="G63" s="77">
        <f t="shared" si="45"/>
        <v>72945.17492</v>
      </c>
      <c r="H63" s="160">
        <f>C13</f>
        <v>66992.17</v>
      </c>
    </row>
    <row r="64">
      <c r="B64" s="159" t="s">
        <v>101</v>
      </c>
      <c r="C64" s="77">
        <f t="shared" ref="C64:G64" si="46">C63-C65</f>
        <v>63500.29434</v>
      </c>
      <c r="D64" s="77">
        <f t="shared" si="46"/>
        <v>58318.07954</v>
      </c>
      <c r="E64" s="77">
        <f t="shared" si="46"/>
        <v>53558.78168</v>
      </c>
      <c r="F64" s="77">
        <f t="shared" si="46"/>
        <v>49187.88681</v>
      </c>
      <c r="G64" s="77">
        <f t="shared" si="46"/>
        <v>45173.69762</v>
      </c>
      <c r="H64" s="160">
        <f>C15+C16+C17+C18+C20</f>
        <v>38954.62</v>
      </c>
    </row>
    <row r="65">
      <c r="B65" s="159" t="s">
        <v>104</v>
      </c>
      <c r="C65" s="77">
        <f t="shared" ref="C65:G65" si="47">C63*$H$55</f>
        <v>39038.13669</v>
      </c>
      <c r="D65" s="77">
        <f t="shared" si="47"/>
        <v>35852.26154</v>
      </c>
      <c r="E65" s="77">
        <f t="shared" si="47"/>
        <v>32926.38345</v>
      </c>
      <c r="F65" s="77">
        <f t="shared" si="47"/>
        <v>30239.28423</v>
      </c>
      <c r="G65" s="77">
        <f t="shared" si="47"/>
        <v>27771.4773</v>
      </c>
      <c r="H65" s="160">
        <f>H63-H64</f>
        <v>28037.55</v>
      </c>
    </row>
    <row r="66">
      <c r="B66" s="159" t="s">
        <v>161</v>
      </c>
      <c r="C66" s="77">
        <f t="shared" ref="C66:G66" si="48">C63*$H$56</f>
        <v>18821.07401</v>
      </c>
      <c r="D66" s="77">
        <f t="shared" si="48"/>
        <v>17285.09926</v>
      </c>
      <c r="E66" s="77">
        <f t="shared" si="48"/>
        <v>15874.47435</v>
      </c>
      <c r="F66" s="77">
        <f t="shared" si="48"/>
        <v>14578.96956</v>
      </c>
      <c r="G66" s="77">
        <f t="shared" si="48"/>
        <v>13389.19</v>
      </c>
      <c r="H66" s="160">
        <f>K10</f>
        <v>12593.75</v>
      </c>
    </row>
    <row r="67">
      <c r="B67" s="159" t="s">
        <v>112</v>
      </c>
      <c r="C67" s="77">
        <f>$H$57*'Balance Sheet'!D71</f>
        <v>5714.070517</v>
      </c>
      <c r="D67" s="77">
        <f>$H$57*'Balance Sheet'!E71</f>
        <v>5247.749201</v>
      </c>
      <c r="E67" s="77">
        <f>$H$57*'Balance Sheet'!F71</f>
        <v>4819.484044</v>
      </c>
      <c r="F67" s="77">
        <f>$H$57*'Balance Sheet'!G71</f>
        <v>4426.169308</v>
      </c>
      <c r="G67" s="77">
        <f>$H$57*'Balance Sheet'!H71</f>
        <v>4334.882048</v>
      </c>
      <c r="H67" s="160">
        <f>K14</f>
        <v>4116.86</v>
      </c>
    </row>
    <row r="68">
      <c r="B68" s="159" t="s">
        <v>162</v>
      </c>
      <c r="C68" s="77">
        <f>$H$58*'Balance Sheet'!D74</f>
        <v>8762.129934</v>
      </c>
      <c r="D68" s="77">
        <f>$H$58*'Balance Sheet'!E74</f>
        <v>7793.57624</v>
      </c>
      <c r="E68" s="77">
        <f>$H$58*'Balance Sheet'!F74</f>
        <v>6932.085128</v>
      </c>
      <c r="F68" s="77">
        <f>$H$58*'Balance Sheet'!G74</f>
        <v>6165.822049</v>
      </c>
      <c r="G68" s="77">
        <f>$H$58*'Balance Sheet'!H74</f>
        <v>5484.260629</v>
      </c>
      <c r="H68" s="160">
        <f>K18</f>
        <v>4702.44</v>
      </c>
    </row>
    <row r="69">
      <c r="B69" s="161"/>
      <c r="C69" s="162"/>
      <c r="D69" s="163"/>
      <c r="E69" s="162"/>
      <c r="F69" s="163"/>
      <c r="G69" s="164"/>
      <c r="H69" s="165"/>
    </row>
    <row r="70">
      <c r="B70" s="159" t="s">
        <v>163</v>
      </c>
      <c r="C70" s="77">
        <f t="shared" ref="C70:G70" si="49">C65-C66-C67-C68</f>
        <v>5740.862234</v>
      </c>
      <c r="D70" s="77">
        <f t="shared" si="49"/>
        <v>5525.836838</v>
      </c>
      <c r="E70" s="77">
        <f t="shared" si="49"/>
        <v>5300.339924</v>
      </c>
      <c r="F70" s="77">
        <f t="shared" si="49"/>
        <v>5068.323314</v>
      </c>
      <c r="G70" s="77">
        <f t="shared" si="49"/>
        <v>4563.144619</v>
      </c>
      <c r="H70" s="160">
        <f>K21</f>
        <v>5526.29</v>
      </c>
    </row>
    <row r="71">
      <c r="B71" s="159" t="s">
        <v>164</v>
      </c>
      <c r="C71" s="77">
        <f t="shared" ref="C71:G71" si="50">C70*$H$59</f>
        <v>1279.051722</v>
      </c>
      <c r="D71" s="77">
        <f t="shared" si="50"/>
        <v>1231.144528</v>
      </c>
      <c r="E71" s="77">
        <f t="shared" si="50"/>
        <v>1180.904302</v>
      </c>
      <c r="F71" s="77">
        <f t="shared" si="50"/>
        <v>1129.211501</v>
      </c>
      <c r="G71" s="77">
        <f t="shared" si="50"/>
        <v>1016.658778</v>
      </c>
      <c r="H71" s="160">
        <f>K24+K25</f>
        <v>1234.42</v>
      </c>
    </row>
    <row r="72">
      <c r="B72" s="161"/>
      <c r="C72" s="162"/>
      <c r="D72" s="163"/>
      <c r="E72" s="162"/>
      <c r="F72" s="163"/>
      <c r="G72" s="164"/>
      <c r="H72" s="165"/>
    </row>
    <row r="73">
      <c r="B73" s="74" t="s">
        <v>165</v>
      </c>
      <c r="C73" s="166">
        <f t="shared" ref="C73:H73" si="51">C70-C71</f>
        <v>4461.810512</v>
      </c>
      <c r="D73" s="166">
        <f t="shared" si="51"/>
        <v>4294.69231</v>
      </c>
      <c r="E73" s="166">
        <f t="shared" si="51"/>
        <v>4119.435623</v>
      </c>
      <c r="F73" s="166">
        <f t="shared" si="51"/>
        <v>3939.111812</v>
      </c>
      <c r="G73" s="166">
        <f t="shared" si="51"/>
        <v>3546.485841</v>
      </c>
      <c r="H73" s="167">
        <f t="shared" si="51"/>
        <v>4291.87</v>
      </c>
    </row>
  </sheetData>
  <mergeCells count="12">
    <mergeCell ref="B1:G2"/>
    <mergeCell ref="C3:G3"/>
    <mergeCell ref="K3:M3"/>
    <mergeCell ref="J29:K29"/>
    <mergeCell ref="J39:K39"/>
    <mergeCell ref="J40:K40"/>
    <mergeCell ref="J43:K43"/>
    <mergeCell ref="J1:M2"/>
    <mergeCell ref="O1:R2"/>
    <mergeCell ref="P3:R3"/>
    <mergeCell ref="T1:W2"/>
    <mergeCell ref="U3:W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</cols>
  <sheetData>
    <row r="1">
      <c r="A1" s="10"/>
      <c r="B1" s="10"/>
      <c r="C1" s="10"/>
      <c r="D1" s="10"/>
      <c r="E1" s="10"/>
      <c r="F1" s="10"/>
      <c r="G1" s="10"/>
      <c r="H1" s="10"/>
      <c r="I1" s="10"/>
      <c r="J1" s="10"/>
    </row>
    <row r="2">
      <c r="A2" s="168" t="s">
        <v>166</v>
      </c>
      <c r="B2" s="59"/>
      <c r="C2" s="59"/>
      <c r="D2" s="59"/>
      <c r="E2" s="59"/>
      <c r="F2" s="59"/>
      <c r="G2" s="59"/>
      <c r="H2" s="59"/>
      <c r="I2" s="59"/>
      <c r="J2" s="59"/>
    </row>
    <row r="3">
      <c r="A3" s="59"/>
      <c r="B3" s="59"/>
      <c r="C3" s="59"/>
      <c r="D3" s="59"/>
      <c r="E3" s="59"/>
      <c r="F3" s="59"/>
      <c r="G3" s="59"/>
      <c r="H3" s="59"/>
      <c r="I3" s="59"/>
      <c r="J3" s="59"/>
    </row>
    <row r="4">
      <c r="A4" s="169" t="s">
        <v>167</v>
      </c>
      <c r="B4" s="170"/>
      <c r="C4" s="171">
        <v>45746.0</v>
      </c>
      <c r="D4" s="171">
        <v>45745.0</v>
      </c>
      <c r="E4" s="171">
        <v>45744.0</v>
      </c>
      <c r="F4" s="171">
        <v>45743.0</v>
      </c>
      <c r="G4" s="171">
        <v>45742.0</v>
      </c>
      <c r="H4" s="171">
        <v>45741.0</v>
      </c>
      <c r="I4" s="171">
        <v>45740.0</v>
      </c>
      <c r="J4" s="171">
        <v>45739.0</v>
      </c>
    </row>
    <row r="5">
      <c r="A5" s="172"/>
      <c r="B5" s="170"/>
      <c r="C5" s="170"/>
      <c r="D5" s="170"/>
      <c r="E5" s="170"/>
      <c r="F5" s="170"/>
      <c r="G5" s="170"/>
      <c r="H5" s="170"/>
      <c r="I5" s="170"/>
      <c r="J5" s="170"/>
    </row>
    <row r="6">
      <c r="A6" s="169" t="s">
        <v>168</v>
      </c>
      <c r="B6" s="170"/>
      <c r="C6" s="173">
        <f>'Income Statement'!C73</f>
        <v>4461.810512</v>
      </c>
      <c r="D6" s="173">
        <f>'Income Statement'!D73</f>
        <v>4294.69231</v>
      </c>
      <c r="E6" s="173">
        <f>'Income Statement'!E73</f>
        <v>4119.435623</v>
      </c>
      <c r="F6" s="173">
        <f>'Income Statement'!F73</f>
        <v>3939.111812</v>
      </c>
      <c r="G6" s="173">
        <f>'Income Statement'!G73</f>
        <v>3546.485841</v>
      </c>
      <c r="H6" s="174">
        <f>'Income Statement'!K28</f>
        <v>3982.04</v>
      </c>
      <c r="I6" s="174">
        <f>'Income Statement'!L28</f>
        <v>3102.53</v>
      </c>
      <c r="J6" s="174">
        <f>'Income Statement'!M28</f>
        <v>610.21</v>
      </c>
    </row>
    <row r="7">
      <c r="A7" s="169" t="s">
        <v>169</v>
      </c>
      <c r="B7" s="170"/>
      <c r="C7" s="173">
        <f>'Income Statement'!C67</f>
        <v>5714.070517</v>
      </c>
      <c r="D7" s="173">
        <f>'Income Statement'!D67</f>
        <v>5247.749201</v>
      </c>
      <c r="E7" s="173">
        <f>'Income Statement'!E67</f>
        <v>4819.484044</v>
      </c>
      <c r="F7" s="173">
        <f>'Income Statement'!F67</f>
        <v>4426.169308</v>
      </c>
      <c r="G7" s="173">
        <f>'Income Statement'!G67</f>
        <v>4334.882048</v>
      </c>
      <c r="H7" s="174">
        <f>'Income Statement'!K14</f>
        <v>4116.86</v>
      </c>
      <c r="I7" s="174">
        <f>'Income Statement'!L14</f>
        <v>3786.37</v>
      </c>
      <c r="J7" s="174">
        <f>'Income Statement'!M14</f>
        <v>3439.2</v>
      </c>
    </row>
    <row r="8">
      <c r="A8" s="169" t="s">
        <v>170</v>
      </c>
      <c r="B8" s="170"/>
      <c r="C8" s="173">
        <f>'Income Statement'!C68*(1-'Income Statement'!H59)</f>
        <v>6809.946285</v>
      </c>
      <c r="D8" s="173">
        <f>'Income Statement'!D68*(1-'Income Statement'!H59)</f>
        <v>6057.184265</v>
      </c>
      <c r="E8" s="173">
        <f>'Income Statement'!E68*(1-'Income Statement'!H59)</f>
        <v>5387.631515</v>
      </c>
      <c r="F8" s="173">
        <f>'Income Statement'!F68*(1-'Income Statement'!H59)</f>
        <v>4792.090197</v>
      </c>
      <c r="G8" s="173">
        <f>'Income Statement'!G68*(1-'Income Statement'!H59)</f>
        <v>4262.379191</v>
      </c>
      <c r="H8" s="173">
        <f>'Income Statement'!K18*(1-'Income Statement'!H59)</f>
        <v>3654.746512</v>
      </c>
      <c r="I8" s="173">
        <f>'Income Statement'!L18*(1-'Income Statement'!H59)</f>
        <v>3600.948578</v>
      </c>
      <c r="J8" s="173">
        <f>'Income Statement'!M18*(1-'Income Statement'!H59)</f>
        <v>3397.65581</v>
      </c>
    </row>
    <row r="9">
      <c r="A9" s="169" t="s">
        <v>82</v>
      </c>
      <c r="B9" s="170"/>
      <c r="C9" s="173">
        <f>'Balance Sheet'!C73</f>
        <v>-843.3275658</v>
      </c>
      <c r="D9" s="173">
        <f>'Balance Sheet'!D73</f>
        <v>-774.5041905</v>
      </c>
      <c r="E9" s="173">
        <f>'Balance Sheet'!E73</f>
        <v>-711.2974429</v>
      </c>
      <c r="F9" s="173">
        <f>'Balance Sheet'!F73</f>
        <v>-653.248954</v>
      </c>
      <c r="G9" s="174">
        <f>'Balance Sheet'!G73</f>
        <v>1117.349704</v>
      </c>
      <c r="H9" s="174">
        <f>'Balance Sheet'!L50</f>
        <v>-3253.64</v>
      </c>
      <c r="I9" s="174">
        <f>'Balance Sheet'!M50</f>
        <v>599.62</v>
      </c>
      <c r="J9" s="170"/>
    </row>
    <row r="10">
      <c r="A10" s="169" t="s">
        <v>171</v>
      </c>
      <c r="B10" s="170"/>
      <c r="C10" s="173">
        <f>'Balance Sheet'!C71-'Balance Sheet'!D71+'Income Statement'!C67</f>
        <v>14540.21603</v>
      </c>
      <c r="D10" s="173">
        <f>'Balance Sheet'!D71-'Balance Sheet'!E71+'Income Statement'!D67</f>
        <v>13353.59913</v>
      </c>
      <c r="E10" s="173">
        <f>'Balance Sheet'!E71-'Balance Sheet'!F71+'Income Statement'!E67</f>
        <v>12263.8212</v>
      </c>
      <c r="F10" s="173">
        <f>'Balance Sheet'!F71-'Balance Sheet'!G71+'Income Statement'!F67</f>
        <v>11262.9793</v>
      </c>
      <c r="G10" s="174">
        <f>'Balance Sheet'!G71-'Balance Sheet'!H71+'Income Statement'!G67</f>
        <v>5921.686679</v>
      </c>
      <c r="H10" s="174">
        <f>'Balance Sheet'!L28-'Balance Sheet'!M28+'Income Statement'!K14</f>
        <v>15475.32</v>
      </c>
      <c r="I10" s="174">
        <f>'Balance Sheet'!M28-'Balance Sheet'!N28+'Income Statement'!L14</f>
        <v>9272.17</v>
      </c>
      <c r="J10" s="170"/>
    </row>
    <row r="11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>
      <c r="A12" s="175" t="s">
        <v>172</v>
      </c>
      <c r="B12" s="176"/>
      <c r="C12" s="177">
        <f t="shared" ref="C12:I12" si="1">C6+C7+C8-C9-C10</f>
        <v>3288.938846</v>
      </c>
      <c r="D12" s="177">
        <f t="shared" si="1"/>
        <v>3020.530837</v>
      </c>
      <c r="E12" s="177">
        <f t="shared" si="1"/>
        <v>2774.027419</v>
      </c>
      <c r="F12" s="177">
        <f t="shared" si="1"/>
        <v>2547.640973</v>
      </c>
      <c r="G12" s="178">
        <f t="shared" si="1"/>
        <v>5104.710698</v>
      </c>
      <c r="H12" s="178">
        <f t="shared" si="1"/>
        <v>-468.0334884</v>
      </c>
      <c r="I12" s="178">
        <f t="shared" si="1"/>
        <v>618.0585783</v>
      </c>
      <c r="J12" s="10"/>
    </row>
    <row r="13">
      <c r="A13" s="59"/>
      <c r="B13" s="59"/>
      <c r="C13" s="59"/>
      <c r="D13" s="59"/>
      <c r="E13" s="59"/>
      <c r="F13" s="59"/>
      <c r="G13" s="59"/>
      <c r="H13" s="59"/>
      <c r="I13" s="59"/>
      <c r="J13" s="59"/>
    </row>
    <row r="14">
      <c r="A14" s="59"/>
      <c r="B14" s="59"/>
      <c r="C14" s="59"/>
      <c r="D14" s="59"/>
      <c r="E14" s="59"/>
      <c r="F14" s="59"/>
      <c r="G14" s="59"/>
      <c r="H14" s="59"/>
      <c r="I14" s="59"/>
      <c r="J14" s="59"/>
    </row>
    <row r="15">
      <c r="A15" s="168" t="s">
        <v>173</v>
      </c>
      <c r="C15" s="59"/>
      <c r="D15" s="59"/>
      <c r="E15" s="59"/>
      <c r="F15" s="59"/>
      <c r="G15" s="59"/>
      <c r="H15" s="59"/>
      <c r="I15" s="59"/>
      <c r="J15" s="59"/>
    </row>
    <row r="16">
      <c r="A16" s="59"/>
      <c r="B16" s="59"/>
      <c r="C16" s="59"/>
      <c r="D16" s="59"/>
      <c r="E16" s="59"/>
      <c r="F16" s="59"/>
      <c r="G16" s="59"/>
      <c r="H16" s="59"/>
      <c r="I16" s="59"/>
      <c r="J16" s="59"/>
    </row>
    <row r="17">
      <c r="A17" s="169" t="s">
        <v>167</v>
      </c>
      <c r="B17" s="170"/>
      <c r="C17" s="171">
        <v>45746.0</v>
      </c>
      <c r="D17" s="171">
        <v>45745.0</v>
      </c>
      <c r="E17" s="171">
        <v>45744.0</v>
      </c>
      <c r="F17" s="171">
        <v>45743.0</v>
      </c>
      <c r="G17" s="171">
        <v>45742.0</v>
      </c>
      <c r="H17" s="171">
        <v>45741.0</v>
      </c>
      <c r="I17" s="171">
        <v>45740.0</v>
      </c>
      <c r="J17" s="171">
        <v>45739.0</v>
      </c>
    </row>
    <row r="18">
      <c r="A18" s="172"/>
      <c r="B18" s="170"/>
      <c r="C18" s="170"/>
      <c r="D18" s="170"/>
      <c r="E18" s="170"/>
      <c r="F18" s="170"/>
      <c r="G18" s="170"/>
      <c r="H18" s="170"/>
      <c r="I18" s="170"/>
      <c r="J18" s="170"/>
    </row>
    <row r="19">
      <c r="A19" s="169" t="s">
        <v>168</v>
      </c>
      <c r="B19" s="170"/>
      <c r="C19" s="173">
        <f>'Income Statement'!C73</f>
        <v>4461.810512</v>
      </c>
      <c r="D19" s="173">
        <f>'Income Statement'!D73</f>
        <v>4294.69231</v>
      </c>
      <c r="E19" s="173">
        <f>'Income Statement'!E73</f>
        <v>4119.435623</v>
      </c>
      <c r="F19" s="173">
        <f>'Income Statement'!F73</f>
        <v>3939.111812</v>
      </c>
      <c r="G19" s="173">
        <f>'Income Statement'!G73</f>
        <v>3546.485841</v>
      </c>
      <c r="H19" s="174">
        <f>'Income Statement'!K28</f>
        <v>3982.04</v>
      </c>
      <c r="I19" s="174">
        <f>'Income Statement'!L28</f>
        <v>3102.53</v>
      </c>
      <c r="J19" s="174">
        <f>'Income Statement'!M28</f>
        <v>610.21</v>
      </c>
    </row>
    <row r="20">
      <c r="A20" s="169" t="s">
        <v>169</v>
      </c>
      <c r="B20" s="170"/>
      <c r="C20" s="173">
        <f>'Income Statement'!C67</f>
        <v>5714.070517</v>
      </c>
      <c r="D20" s="173">
        <f>'Income Statement'!D67</f>
        <v>5247.749201</v>
      </c>
      <c r="E20" s="173">
        <f>'Income Statement'!E67</f>
        <v>4819.484044</v>
      </c>
      <c r="F20" s="173">
        <f>'Income Statement'!F67</f>
        <v>4426.169308</v>
      </c>
      <c r="G20" s="173">
        <f>'Income Statement'!G67</f>
        <v>4334.882048</v>
      </c>
      <c r="H20" s="174">
        <f>'Income Statement'!K14</f>
        <v>4116.86</v>
      </c>
      <c r="I20" s="174">
        <f>'Income Statement'!L14</f>
        <v>3786.37</v>
      </c>
      <c r="J20" s="174">
        <f>'Income Statement'!M14</f>
        <v>3439.2</v>
      </c>
    </row>
    <row r="21">
      <c r="A21" s="169" t="s">
        <v>82</v>
      </c>
      <c r="B21" s="170"/>
      <c r="C21" s="173">
        <f t="shared" ref="C21:I21" si="2">C9</f>
        <v>-843.3275658</v>
      </c>
      <c r="D21" s="173">
        <f t="shared" si="2"/>
        <v>-774.5041905</v>
      </c>
      <c r="E21" s="173">
        <f t="shared" si="2"/>
        <v>-711.2974429</v>
      </c>
      <c r="F21" s="173">
        <f t="shared" si="2"/>
        <v>-653.248954</v>
      </c>
      <c r="G21" s="174">
        <f t="shared" si="2"/>
        <v>1117.349704</v>
      </c>
      <c r="H21" s="174">
        <f t="shared" si="2"/>
        <v>-3253.64</v>
      </c>
      <c r="I21" s="174">
        <f t="shared" si="2"/>
        <v>599.62</v>
      </c>
      <c r="J21" s="170"/>
    </row>
    <row r="22">
      <c r="A22" s="169" t="s">
        <v>171</v>
      </c>
      <c r="B22" s="170"/>
      <c r="C22" s="173">
        <f t="shared" ref="C22:I22" si="3">C10</f>
        <v>14540.21603</v>
      </c>
      <c r="D22" s="173">
        <f t="shared" si="3"/>
        <v>13353.59913</v>
      </c>
      <c r="E22" s="173">
        <f t="shared" si="3"/>
        <v>12263.8212</v>
      </c>
      <c r="F22" s="173">
        <f t="shared" si="3"/>
        <v>11262.9793</v>
      </c>
      <c r="G22" s="174">
        <f t="shared" si="3"/>
        <v>5921.686679</v>
      </c>
      <c r="H22" s="174">
        <f t="shared" si="3"/>
        <v>15475.32</v>
      </c>
      <c r="I22" s="174">
        <f t="shared" si="3"/>
        <v>9272.17</v>
      </c>
      <c r="J22" s="170"/>
    </row>
    <row r="23">
      <c r="A23" s="169" t="s">
        <v>174</v>
      </c>
      <c r="B23" s="170"/>
      <c r="C23" s="174">
        <f>'Balance Sheet'!C74 - 'Balance Sheet'!D74 </f>
        <v>8762.129934</v>
      </c>
      <c r="D23" s="174">
        <f>'Balance Sheet'!D74-'Balance Sheet'!E74</f>
        <v>7793.57624</v>
      </c>
      <c r="E23" s="174">
        <f>'Balance Sheet'!E74-'Balance Sheet'!F74</f>
        <v>6932.085128</v>
      </c>
      <c r="F23" s="174">
        <f>'Balance Sheet'!F74-'Balance Sheet'!G74</f>
        <v>6165.822049</v>
      </c>
      <c r="G23" s="174">
        <f>'Balance Sheet'!G74-'Balance Sheet'!H74</f>
        <v>5484.260629</v>
      </c>
      <c r="H23" s="174">
        <f>'Balance Sheet'!L11-'Balance Sheet'!M11</f>
        <v>6737.47</v>
      </c>
      <c r="I23" s="174">
        <f>'Balance Sheet'!M11-'Balance Sheet'!N11</f>
        <v>6683.76</v>
      </c>
      <c r="J23" s="170"/>
    </row>
    <row r="24">
      <c r="A24" s="59"/>
      <c r="B24" s="59"/>
      <c r="C24" s="59"/>
      <c r="D24" s="59"/>
      <c r="E24" s="59"/>
      <c r="F24" s="59"/>
      <c r="G24" s="59"/>
      <c r="H24" s="59"/>
      <c r="I24" s="59"/>
      <c r="J24" s="59"/>
    </row>
    <row r="25">
      <c r="A25" s="175" t="s">
        <v>175</v>
      </c>
      <c r="B25" s="179"/>
      <c r="C25" s="180">
        <f t="shared" ref="C25:I25" si="4">C19+C20-C21-C22+C23</f>
        <v>5241.122494</v>
      </c>
      <c r="D25" s="180">
        <f t="shared" si="4"/>
        <v>4756.922812</v>
      </c>
      <c r="E25" s="180">
        <f t="shared" si="4"/>
        <v>4318.481032</v>
      </c>
      <c r="F25" s="180">
        <f t="shared" si="4"/>
        <v>3921.372826</v>
      </c>
      <c r="G25" s="180">
        <f t="shared" si="4"/>
        <v>6326.592136</v>
      </c>
      <c r="H25" s="180">
        <f t="shared" si="4"/>
        <v>2614.69</v>
      </c>
      <c r="I25" s="180">
        <f t="shared" si="4"/>
        <v>3700.87</v>
      </c>
      <c r="J25" s="10"/>
    </row>
  </sheetData>
  <mergeCells count="1">
    <mergeCell ref="A15:B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18.38"/>
    <col customWidth="1" min="3" max="3" width="15.5"/>
  </cols>
  <sheetData>
    <row r="1">
      <c r="A1" s="181" t="s">
        <v>176</v>
      </c>
      <c r="B1" s="182"/>
      <c r="C1" s="183"/>
      <c r="D1" s="183"/>
      <c r="E1" s="183"/>
      <c r="F1" s="183"/>
      <c r="G1" s="183"/>
      <c r="H1" s="183"/>
      <c r="I1" s="183"/>
      <c r="M1" s="184" t="s">
        <v>177</v>
      </c>
      <c r="N1" s="184" t="s">
        <v>178</v>
      </c>
      <c r="O1" s="184" t="s">
        <v>179</v>
      </c>
      <c r="Q1" s="184" t="s">
        <v>180</v>
      </c>
    </row>
    <row r="2">
      <c r="A2" s="185" t="s">
        <v>181</v>
      </c>
      <c r="B2" s="91"/>
      <c r="C2" s="10"/>
      <c r="D2" s="10"/>
      <c r="E2" s="10"/>
      <c r="F2" s="10"/>
      <c r="G2" s="10"/>
      <c r="H2" s="10"/>
      <c r="I2" s="10"/>
      <c r="M2" s="186">
        <v>44652.0</v>
      </c>
      <c r="N2" s="187">
        <v>9324.35</v>
      </c>
      <c r="O2" s="187">
        <v>9207.0</v>
      </c>
      <c r="Q2" s="188">
        <f t="shared" ref="Q2:Q744" si="1">(N2-O2)/O2</f>
        <v>0.01274573694</v>
      </c>
    </row>
    <row r="3">
      <c r="A3" s="10"/>
      <c r="B3" s="10"/>
      <c r="C3" s="10"/>
      <c r="D3" s="10"/>
      <c r="E3" s="10"/>
      <c r="F3" s="10"/>
      <c r="G3" s="10"/>
      <c r="H3" s="10"/>
      <c r="I3" s="10"/>
      <c r="M3" s="186">
        <v>44655.0</v>
      </c>
      <c r="N3" s="187">
        <v>9514.7</v>
      </c>
      <c r="O3" s="187">
        <v>9324.35</v>
      </c>
      <c r="Q3" s="188">
        <f t="shared" si="1"/>
        <v>0.02041429161</v>
      </c>
    </row>
    <row r="4">
      <c r="A4" s="189" t="s">
        <v>182</v>
      </c>
      <c r="B4" s="7"/>
      <c r="C4" s="10"/>
      <c r="D4" s="10"/>
      <c r="E4" s="10"/>
      <c r="F4" s="10"/>
      <c r="G4" s="10"/>
      <c r="H4" s="10"/>
      <c r="I4" s="10"/>
      <c r="M4" s="186">
        <v>44656.0</v>
      </c>
      <c r="N4" s="187">
        <v>9504.95</v>
      </c>
      <c r="O4" s="187">
        <v>9514.7</v>
      </c>
      <c r="Q4" s="188">
        <f t="shared" si="1"/>
        <v>-0.001024730154</v>
      </c>
    </row>
    <row r="5">
      <c r="A5" s="190" t="s">
        <v>183</v>
      </c>
      <c r="B5" s="191">
        <v>0.654338</v>
      </c>
      <c r="C5" s="10"/>
      <c r="D5" s="10"/>
      <c r="E5" s="10"/>
      <c r="F5" s="10"/>
      <c r="G5" s="10"/>
      <c r="H5" s="10"/>
      <c r="I5" s="10"/>
      <c r="M5" s="186">
        <v>44657.0</v>
      </c>
      <c r="N5" s="187">
        <v>9458.55</v>
      </c>
      <c r="O5" s="187">
        <v>9504.95</v>
      </c>
      <c r="Q5" s="188">
        <f t="shared" si="1"/>
        <v>-0.004881666921</v>
      </c>
    </row>
    <row r="6">
      <c r="A6" s="190" t="s">
        <v>184</v>
      </c>
      <c r="B6" s="191">
        <v>0.428158</v>
      </c>
      <c r="C6" s="10"/>
      <c r="D6" s="10"/>
      <c r="E6" s="10"/>
      <c r="F6" s="10"/>
      <c r="G6" s="10"/>
      <c r="H6" s="10"/>
      <c r="I6" s="10"/>
      <c r="M6" s="186">
        <v>44658.0</v>
      </c>
      <c r="N6" s="187">
        <v>9375.65</v>
      </c>
      <c r="O6" s="187">
        <v>9458.55</v>
      </c>
      <c r="Q6" s="188">
        <f t="shared" si="1"/>
        <v>-0.008764556935</v>
      </c>
    </row>
    <row r="7">
      <c r="A7" s="190" t="s">
        <v>185</v>
      </c>
      <c r="B7" s="191">
        <v>0.427386</v>
      </c>
      <c r="C7" s="10"/>
      <c r="D7" s="10"/>
      <c r="E7" s="10"/>
      <c r="F7" s="10"/>
      <c r="G7" s="10"/>
      <c r="H7" s="10"/>
      <c r="I7" s="10"/>
      <c r="M7" s="186">
        <v>44659.0</v>
      </c>
      <c r="N7" s="187">
        <v>9464.3</v>
      </c>
      <c r="O7" s="187">
        <v>9375.65</v>
      </c>
      <c r="Q7" s="188">
        <f t="shared" si="1"/>
        <v>0.009455344429</v>
      </c>
    </row>
    <row r="8">
      <c r="A8" s="190" t="s">
        <v>186</v>
      </c>
      <c r="B8" s="191">
        <v>0.014979</v>
      </c>
      <c r="C8" s="10"/>
      <c r="D8" s="10"/>
      <c r="E8" s="10"/>
      <c r="F8" s="10"/>
      <c r="G8" s="10"/>
      <c r="H8" s="10"/>
      <c r="I8" s="10"/>
      <c r="M8" s="192">
        <v>44662.0</v>
      </c>
      <c r="N8" s="187">
        <v>9446.85</v>
      </c>
      <c r="O8" s="187">
        <v>9464.3</v>
      </c>
      <c r="Q8" s="188">
        <f t="shared" si="1"/>
        <v>-0.001843770802</v>
      </c>
    </row>
    <row r="9">
      <c r="A9" s="185" t="s">
        <v>187</v>
      </c>
      <c r="B9" s="193">
        <v>742.0</v>
      </c>
      <c r="C9" s="10"/>
      <c r="D9" s="10"/>
      <c r="E9" s="10"/>
      <c r="F9" s="10"/>
      <c r="G9" s="10"/>
      <c r="H9" s="10"/>
      <c r="I9" s="10"/>
      <c r="M9" s="192">
        <v>44663.0</v>
      </c>
      <c r="N9" s="187">
        <v>9351.7</v>
      </c>
      <c r="O9" s="187">
        <v>9446.85</v>
      </c>
      <c r="Q9" s="188">
        <f t="shared" si="1"/>
        <v>-0.01007214045</v>
      </c>
    </row>
    <row r="10">
      <c r="A10" s="10"/>
      <c r="B10" s="10"/>
      <c r="C10" s="10"/>
      <c r="D10" s="10"/>
      <c r="E10" s="10"/>
      <c r="F10" s="10"/>
      <c r="G10" s="10"/>
      <c r="H10" s="10"/>
      <c r="I10" s="10"/>
      <c r="M10" s="192">
        <v>44664.0</v>
      </c>
      <c r="N10" s="187">
        <v>9332.25</v>
      </c>
      <c r="O10" s="187">
        <v>9351.7</v>
      </c>
      <c r="Q10" s="188">
        <f t="shared" si="1"/>
        <v>-0.002079835752</v>
      </c>
    </row>
    <row r="11">
      <c r="A11" s="190" t="s">
        <v>188</v>
      </c>
      <c r="B11" s="10"/>
      <c r="C11" s="10"/>
      <c r="D11" s="10"/>
      <c r="E11" s="10"/>
      <c r="F11" s="10"/>
      <c r="G11" s="10"/>
      <c r="H11" s="10"/>
      <c r="I11" s="10"/>
      <c r="M11" s="192">
        <v>44669.0</v>
      </c>
      <c r="N11" s="187">
        <v>9197.35</v>
      </c>
      <c r="O11" s="187">
        <v>9332.25</v>
      </c>
      <c r="Q11" s="188">
        <f t="shared" si="1"/>
        <v>-0.01445524927</v>
      </c>
    </row>
    <row r="12">
      <c r="A12" s="194"/>
      <c r="B12" s="189" t="s">
        <v>189</v>
      </c>
      <c r="C12" s="189" t="s">
        <v>190</v>
      </c>
      <c r="D12" s="189" t="s">
        <v>191</v>
      </c>
      <c r="E12" s="189" t="s">
        <v>192</v>
      </c>
      <c r="F12" s="189" t="s">
        <v>193</v>
      </c>
      <c r="G12" s="95"/>
      <c r="H12" s="10"/>
      <c r="I12" s="10"/>
      <c r="M12" s="192">
        <v>44670.0</v>
      </c>
      <c r="N12" s="187">
        <v>9073.6</v>
      </c>
      <c r="O12" s="187">
        <v>9197.35</v>
      </c>
      <c r="Q12" s="188">
        <f t="shared" si="1"/>
        <v>-0.01345496257</v>
      </c>
    </row>
    <row r="13">
      <c r="A13" s="190" t="s">
        <v>194</v>
      </c>
      <c r="B13" s="191">
        <v>1.0</v>
      </c>
      <c r="C13" s="191">
        <v>0.124321</v>
      </c>
      <c r="D13" s="191">
        <v>0.124321</v>
      </c>
      <c r="E13" s="191">
        <v>554.0648</v>
      </c>
      <c r="F13" s="195">
        <v>6.96E-92</v>
      </c>
      <c r="G13" s="10"/>
      <c r="H13" s="10"/>
      <c r="I13" s="10"/>
      <c r="M13" s="192">
        <v>44671.0</v>
      </c>
      <c r="N13" s="187">
        <v>9157.95</v>
      </c>
      <c r="O13" s="187">
        <v>9073.6</v>
      </c>
      <c r="Q13" s="188">
        <f t="shared" si="1"/>
        <v>0.009296199965</v>
      </c>
    </row>
    <row r="14">
      <c r="A14" s="190" t="s">
        <v>195</v>
      </c>
      <c r="B14" s="191">
        <v>740.0</v>
      </c>
      <c r="C14" s="191">
        <v>0.166041</v>
      </c>
      <c r="D14" s="191">
        <v>2.24E-4</v>
      </c>
      <c r="E14" s="10"/>
      <c r="F14" s="10"/>
      <c r="G14" s="10"/>
      <c r="H14" s="10"/>
      <c r="I14" s="10"/>
      <c r="M14" s="192">
        <v>44672.0</v>
      </c>
      <c r="N14" s="187">
        <v>9285.85</v>
      </c>
      <c r="O14" s="187">
        <v>9157.95</v>
      </c>
      <c r="Q14" s="188">
        <f t="shared" si="1"/>
        <v>0.01396600768</v>
      </c>
    </row>
    <row r="15">
      <c r="A15" s="185" t="s">
        <v>196</v>
      </c>
      <c r="B15" s="193">
        <v>741.0</v>
      </c>
      <c r="C15" s="193">
        <v>0.290361</v>
      </c>
      <c r="D15" s="156"/>
      <c r="E15" s="156"/>
      <c r="F15" s="156"/>
      <c r="G15" s="10"/>
      <c r="H15" s="10"/>
      <c r="I15" s="10"/>
      <c r="M15" s="192">
        <v>44673.0</v>
      </c>
      <c r="N15" s="187">
        <v>9179.5</v>
      </c>
      <c r="O15" s="187">
        <v>9285.85</v>
      </c>
      <c r="Q15" s="188">
        <f t="shared" si="1"/>
        <v>-0.01145290953</v>
      </c>
    </row>
    <row r="16">
      <c r="A16" s="10"/>
      <c r="B16" s="10"/>
      <c r="C16" s="10"/>
      <c r="D16" s="10"/>
      <c r="E16" s="10"/>
      <c r="F16" s="10"/>
      <c r="G16" s="10"/>
      <c r="H16" s="10"/>
      <c r="I16" s="10"/>
      <c r="M16" s="192">
        <v>44676.0</v>
      </c>
      <c r="N16" s="187">
        <v>9046.5</v>
      </c>
      <c r="O16" s="187">
        <v>9179.5</v>
      </c>
      <c r="Q16" s="188">
        <f t="shared" si="1"/>
        <v>-0.01448880658</v>
      </c>
    </row>
    <row r="17">
      <c r="A17" s="194"/>
      <c r="B17" s="189" t="s">
        <v>197</v>
      </c>
      <c r="C17" s="189" t="s">
        <v>186</v>
      </c>
      <c r="D17" s="189" t="s">
        <v>198</v>
      </c>
      <c r="E17" s="189" t="s">
        <v>199</v>
      </c>
      <c r="F17" s="189" t="s">
        <v>200</v>
      </c>
      <c r="G17" s="189" t="s">
        <v>201</v>
      </c>
      <c r="H17" s="189" t="s">
        <v>202</v>
      </c>
      <c r="I17" s="189" t="s">
        <v>203</v>
      </c>
      <c r="M17" s="192">
        <v>44677.0</v>
      </c>
      <c r="N17" s="187">
        <v>9191.8</v>
      </c>
      <c r="O17" s="187">
        <v>9046.5</v>
      </c>
      <c r="Q17" s="188">
        <f t="shared" si="1"/>
        <v>0.01606146023</v>
      </c>
    </row>
    <row r="18">
      <c r="A18" s="190" t="s">
        <v>204</v>
      </c>
      <c r="B18" s="195">
        <v>4.41E-5</v>
      </c>
      <c r="C18" s="191">
        <v>5.51E-4</v>
      </c>
      <c r="D18" s="191">
        <v>0.080052</v>
      </c>
      <c r="E18" s="191">
        <v>0.936217</v>
      </c>
      <c r="F18" s="191">
        <v>-0.00104</v>
      </c>
      <c r="G18" s="191">
        <v>0.001125</v>
      </c>
      <c r="H18" s="191">
        <v>-0.00104</v>
      </c>
      <c r="I18" s="191">
        <v>0.001125</v>
      </c>
      <c r="M18" s="192">
        <v>44678.0</v>
      </c>
      <c r="N18" s="187">
        <v>9100.05</v>
      </c>
      <c r="O18" s="187">
        <v>9191.8</v>
      </c>
      <c r="Q18" s="188">
        <f t="shared" si="1"/>
        <v>-0.00998172284</v>
      </c>
    </row>
    <row r="19">
      <c r="A19" s="193">
        <v>0.0127</v>
      </c>
      <c r="B19" s="193">
        <v>1.501188</v>
      </c>
      <c r="C19" s="193">
        <v>0.063776</v>
      </c>
      <c r="D19" s="193">
        <v>23.53858</v>
      </c>
      <c r="E19" s="196">
        <v>6.96E-92</v>
      </c>
      <c r="F19" s="193">
        <v>1.375985</v>
      </c>
      <c r="G19" s="193">
        <v>1.626391</v>
      </c>
      <c r="H19" s="193">
        <v>1.375985</v>
      </c>
      <c r="I19" s="193">
        <v>1.626391</v>
      </c>
      <c r="M19" s="192">
        <v>44679.0</v>
      </c>
      <c r="N19" s="187">
        <v>9205.35</v>
      </c>
      <c r="O19" s="187">
        <v>9100.05</v>
      </c>
      <c r="Q19" s="188">
        <f t="shared" si="1"/>
        <v>0.01157136499</v>
      </c>
    </row>
    <row r="20">
      <c r="M20" s="192">
        <v>44680.0</v>
      </c>
      <c r="N20" s="187">
        <v>9123.4</v>
      </c>
      <c r="O20" s="187">
        <v>9205.35</v>
      </c>
      <c r="Q20" s="188">
        <f t="shared" si="1"/>
        <v>-0.008902431738</v>
      </c>
    </row>
    <row r="21">
      <c r="M21" s="197">
        <v>44683.0</v>
      </c>
      <c r="N21" s="187">
        <v>9098.95</v>
      </c>
      <c r="O21" s="187">
        <v>9123.4</v>
      </c>
      <c r="Q21" s="188">
        <f t="shared" si="1"/>
        <v>-0.002679921959</v>
      </c>
    </row>
    <row r="22">
      <c r="A22" s="198" t="s">
        <v>205</v>
      </c>
      <c r="B22" s="199">
        <f>B19</f>
        <v>1.501188</v>
      </c>
      <c r="M22" s="197">
        <v>44685.0</v>
      </c>
      <c r="N22" s="187">
        <v>8885.25</v>
      </c>
      <c r="O22" s="187">
        <v>9098.95</v>
      </c>
      <c r="Q22" s="188">
        <f t="shared" si="1"/>
        <v>-0.02348622643</v>
      </c>
    </row>
    <row r="23">
      <c r="M23" s="197">
        <v>44686.0</v>
      </c>
      <c r="N23" s="187">
        <v>8892.15</v>
      </c>
      <c r="O23" s="187">
        <v>8885.25</v>
      </c>
      <c r="Q23" s="188">
        <f t="shared" si="1"/>
        <v>0.0007765679075</v>
      </c>
    </row>
    <row r="24">
      <c r="A24" s="200" t="s">
        <v>206</v>
      </c>
      <c r="B24" s="201">
        <f>AVERAGE(Q2:Q744)</f>
        <v>0.000500005974</v>
      </c>
      <c r="C24" s="202"/>
      <c r="M24" s="197">
        <v>44687.0</v>
      </c>
      <c r="N24" s="187">
        <v>8740.95</v>
      </c>
      <c r="O24" s="187">
        <v>8892.15</v>
      </c>
      <c r="Q24" s="188">
        <f t="shared" si="1"/>
        <v>-0.01700376174</v>
      </c>
    </row>
    <row r="25">
      <c r="A25" s="10"/>
      <c r="B25" s="10"/>
      <c r="C25" s="10"/>
      <c r="M25" s="197">
        <v>44690.0</v>
      </c>
      <c r="N25" s="187">
        <v>8652.95</v>
      </c>
      <c r="O25" s="187">
        <v>8740.95</v>
      </c>
      <c r="Q25" s="188">
        <f t="shared" si="1"/>
        <v>-0.01006755559</v>
      </c>
    </row>
    <row r="26">
      <c r="A26" s="200" t="s">
        <v>207</v>
      </c>
      <c r="B26" s="201">
        <f>POWER(1+B24,252)-1</f>
        <v>0.1342481576</v>
      </c>
      <c r="C26" s="202"/>
      <c r="M26" s="203">
        <v>44691.0</v>
      </c>
      <c r="N26" s="187">
        <v>8578.8</v>
      </c>
      <c r="O26" s="187">
        <v>8652.95</v>
      </c>
      <c r="Q26" s="188">
        <f t="shared" si="1"/>
        <v>-0.008569331846</v>
      </c>
    </row>
    <row r="27">
      <c r="A27" s="10"/>
      <c r="B27" s="10"/>
      <c r="C27" s="10"/>
      <c r="M27" s="203">
        <v>44692.0</v>
      </c>
      <c r="N27" s="187">
        <v>8544.7</v>
      </c>
      <c r="O27" s="187">
        <v>8578.8</v>
      </c>
      <c r="Q27" s="188">
        <f t="shared" si="1"/>
        <v>-0.003974914907</v>
      </c>
    </row>
    <row r="28">
      <c r="A28" s="200" t="s">
        <v>208</v>
      </c>
      <c r="B28" s="201">
        <v>0.0654</v>
      </c>
      <c r="C28" s="204" t="s">
        <v>209</v>
      </c>
      <c r="M28" s="203">
        <v>44693.0</v>
      </c>
      <c r="N28" s="187">
        <v>8348.4</v>
      </c>
      <c r="O28" s="187">
        <v>8544.7</v>
      </c>
      <c r="Q28" s="188">
        <f t="shared" si="1"/>
        <v>-0.02297330509</v>
      </c>
    </row>
    <row r="29">
      <c r="M29" s="203">
        <v>44694.0</v>
      </c>
      <c r="N29" s="187">
        <v>8343.1</v>
      </c>
      <c r="O29" s="187">
        <v>8348.4</v>
      </c>
      <c r="Q29" s="188">
        <f t="shared" si="1"/>
        <v>-0.0006348521872</v>
      </c>
    </row>
    <row r="30">
      <c r="A30" s="205" t="s">
        <v>210</v>
      </c>
      <c r="M30" s="203">
        <v>44697.0</v>
      </c>
      <c r="N30" s="187">
        <v>8399.05</v>
      </c>
      <c r="O30" s="187">
        <v>8343.1</v>
      </c>
      <c r="Q30" s="188">
        <f t="shared" si="1"/>
        <v>0.006706140403</v>
      </c>
    </row>
    <row r="31">
      <c r="A31" s="206" t="s">
        <v>211</v>
      </c>
      <c r="B31" s="207">
        <f>B28+(B22*(B26-B28))</f>
        <v>0.168754028</v>
      </c>
      <c r="M31" s="203">
        <v>44698.0</v>
      </c>
      <c r="N31" s="187">
        <v>8619.55</v>
      </c>
      <c r="O31" s="187">
        <v>8399.05</v>
      </c>
      <c r="Q31" s="188">
        <f t="shared" si="1"/>
        <v>0.02625296909</v>
      </c>
    </row>
    <row r="32">
      <c r="M32" s="203">
        <v>44699.0</v>
      </c>
      <c r="N32" s="187">
        <v>8611.25</v>
      </c>
      <c r="O32" s="187">
        <v>8619.55</v>
      </c>
      <c r="Q32" s="188">
        <f t="shared" si="1"/>
        <v>-0.000962927299</v>
      </c>
    </row>
    <row r="33">
      <c r="M33" s="203">
        <v>44700.0</v>
      </c>
      <c r="N33" s="187">
        <v>8378.35</v>
      </c>
      <c r="O33" s="187">
        <v>8611.25</v>
      </c>
      <c r="Q33" s="188">
        <f t="shared" si="1"/>
        <v>-0.02704601539</v>
      </c>
    </row>
    <row r="34">
      <c r="M34" s="203">
        <v>44701.0</v>
      </c>
      <c r="N34" s="187">
        <v>8597.1</v>
      </c>
      <c r="O34" s="187">
        <v>8378.35</v>
      </c>
      <c r="Q34" s="188">
        <f t="shared" si="1"/>
        <v>0.0261089594</v>
      </c>
    </row>
    <row r="35">
      <c r="M35" s="203">
        <v>44704.0</v>
      </c>
      <c r="N35" s="187">
        <v>8562.85</v>
      </c>
      <c r="O35" s="187">
        <v>8597.1</v>
      </c>
      <c r="Q35" s="188">
        <f t="shared" si="1"/>
        <v>-0.003983901548</v>
      </c>
    </row>
    <row r="36">
      <c r="M36" s="203">
        <v>44705.0</v>
      </c>
      <c r="N36" s="187">
        <v>8511.35</v>
      </c>
      <c r="O36" s="187">
        <v>8562.85</v>
      </c>
      <c r="Q36" s="188">
        <f t="shared" si="1"/>
        <v>-0.006014352698</v>
      </c>
    </row>
    <row r="37">
      <c r="M37" s="203">
        <v>44706.0</v>
      </c>
      <c r="N37" s="187">
        <v>8426.55</v>
      </c>
      <c r="O37" s="187">
        <v>8511.35</v>
      </c>
      <c r="Q37" s="188">
        <f t="shared" si="1"/>
        <v>-0.00996316683</v>
      </c>
    </row>
    <row r="38">
      <c r="M38" s="203">
        <v>44707.0</v>
      </c>
      <c r="N38" s="187">
        <v>8511.5</v>
      </c>
      <c r="O38" s="187">
        <v>8426.55</v>
      </c>
      <c r="Q38" s="188">
        <f t="shared" si="1"/>
        <v>0.01008123135</v>
      </c>
    </row>
    <row r="39">
      <c r="M39" s="203">
        <v>44708.0</v>
      </c>
      <c r="N39" s="187">
        <v>8606.15</v>
      </c>
      <c r="O39" s="187">
        <v>8511.5</v>
      </c>
      <c r="Q39" s="188">
        <f t="shared" si="1"/>
        <v>0.01112024907</v>
      </c>
    </row>
    <row r="40">
      <c r="M40" s="203">
        <v>44711.0</v>
      </c>
      <c r="N40" s="187">
        <v>8779.1</v>
      </c>
      <c r="O40" s="187">
        <v>8606.15</v>
      </c>
      <c r="Q40" s="188">
        <f t="shared" si="1"/>
        <v>0.02009609407</v>
      </c>
    </row>
    <row r="41">
      <c r="M41" s="203">
        <v>44712.0</v>
      </c>
      <c r="N41" s="187">
        <v>8745.65</v>
      </c>
      <c r="O41" s="187">
        <v>8779.1</v>
      </c>
      <c r="Q41" s="188">
        <f t="shared" si="1"/>
        <v>-0.003810185554</v>
      </c>
    </row>
    <row r="42">
      <c r="M42" s="186">
        <v>44713.0</v>
      </c>
      <c r="N42" s="187">
        <v>8710.7</v>
      </c>
      <c r="O42" s="187">
        <v>8745.65</v>
      </c>
      <c r="Q42" s="188">
        <f t="shared" si="1"/>
        <v>-0.003996272433</v>
      </c>
    </row>
    <row r="43">
      <c r="M43" s="186">
        <v>44714.0</v>
      </c>
      <c r="N43" s="187">
        <v>8766.45</v>
      </c>
      <c r="O43" s="187">
        <v>8710.7</v>
      </c>
      <c r="Q43" s="188">
        <f t="shared" si="1"/>
        <v>0.006400174498</v>
      </c>
    </row>
    <row r="44">
      <c r="M44" s="186">
        <v>44715.0</v>
      </c>
      <c r="N44" s="187">
        <v>8713.8</v>
      </c>
      <c r="O44" s="187">
        <v>8766.45</v>
      </c>
      <c r="Q44" s="188">
        <f t="shared" si="1"/>
        <v>-0.006005851856</v>
      </c>
    </row>
    <row r="45">
      <c r="M45" s="186">
        <v>44718.0</v>
      </c>
      <c r="N45" s="187">
        <v>8703.35</v>
      </c>
      <c r="O45" s="187">
        <v>8713.8</v>
      </c>
      <c r="Q45" s="188">
        <f t="shared" si="1"/>
        <v>-0.001199247171</v>
      </c>
    </row>
    <row r="46">
      <c r="M46" s="186">
        <v>44719.0</v>
      </c>
      <c r="N46" s="187">
        <v>8627.6</v>
      </c>
      <c r="O46" s="187">
        <v>8703.35</v>
      </c>
      <c r="Q46" s="188">
        <f t="shared" si="1"/>
        <v>-0.008703545187</v>
      </c>
    </row>
    <row r="47">
      <c r="M47" s="186">
        <v>44720.0</v>
      </c>
      <c r="N47" s="187">
        <v>8595.6</v>
      </c>
      <c r="O47" s="187">
        <v>8627.6</v>
      </c>
      <c r="Q47" s="188">
        <f t="shared" si="1"/>
        <v>-0.003709026844</v>
      </c>
    </row>
    <row r="48">
      <c r="M48" s="186">
        <v>44721.0</v>
      </c>
      <c r="N48" s="187">
        <v>8657.3</v>
      </c>
      <c r="O48" s="187">
        <v>8595.6</v>
      </c>
      <c r="Q48" s="188">
        <f t="shared" si="1"/>
        <v>0.007178091116</v>
      </c>
    </row>
    <row r="49">
      <c r="M49" s="192">
        <v>44722.0</v>
      </c>
      <c r="N49" s="187">
        <v>8529.1</v>
      </c>
      <c r="O49" s="187">
        <v>8657.3</v>
      </c>
      <c r="Q49" s="188">
        <f t="shared" si="1"/>
        <v>-0.01480831206</v>
      </c>
    </row>
    <row r="50">
      <c r="M50" s="192">
        <v>44725.0</v>
      </c>
      <c r="N50" s="187">
        <v>8307.45</v>
      </c>
      <c r="O50" s="187">
        <v>8529.1</v>
      </c>
      <c r="Q50" s="188">
        <f t="shared" si="1"/>
        <v>-0.02598750161</v>
      </c>
    </row>
    <row r="51">
      <c r="M51" s="192">
        <v>44726.0</v>
      </c>
      <c r="N51" s="187">
        <v>8291.1</v>
      </c>
      <c r="O51" s="187">
        <v>8307.45</v>
      </c>
      <c r="Q51" s="188">
        <f t="shared" si="1"/>
        <v>-0.001968112959</v>
      </c>
    </row>
    <row r="52">
      <c r="M52" s="192">
        <v>44727.0</v>
      </c>
      <c r="N52" s="187">
        <v>8281.2</v>
      </c>
      <c r="O52" s="187">
        <v>8291.1</v>
      </c>
      <c r="Q52" s="188">
        <f t="shared" si="1"/>
        <v>-0.001194051453</v>
      </c>
    </row>
    <row r="53">
      <c r="M53" s="192">
        <v>44728.0</v>
      </c>
      <c r="N53" s="187">
        <v>8105.35</v>
      </c>
      <c r="O53" s="187">
        <v>8281.2</v>
      </c>
      <c r="Q53" s="188">
        <f t="shared" si="1"/>
        <v>-0.02123484519</v>
      </c>
    </row>
    <row r="54">
      <c r="M54" s="192">
        <v>44729.0</v>
      </c>
      <c r="N54" s="187">
        <v>8048.7</v>
      </c>
      <c r="O54" s="187">
        <v>8105.35</v>
      </c>
      <c r="Q54" s="188">
        <f t="shared" si="1"/>
        <v>-0.00698921083</v>
      </c>
    </row>
    <row r="55">
      <c r="M55" s="192">
        <v>44732.0</v>
      </c>
      <c r="N55" s="187">
        <v>8040.45</v>
      </c>
      <c r="O55" s="187">
        <v>8048.7</v>
      </c>
      <c r="Q55" s="188">
        <f t="shared" si="1"/>
        <v>-0.00102501025</v>
      </c>
    </row>
    <row r="56">
      <c r="M56" s="192">
        <v>44733.0</v>
      </c>
      <c r="N56" s="187">
        <v>8218.55</v>
      </c>
      <c r="O56" s="187">
        <v>8040.45</v>
      </c>
      <c r="Q56" s="188">
        <f t="shared" si="1"/>
        <v>0.02215050153</v>
      </c>
    </row>
    <row r="57">
      <c r="M57" s="192">
        <v>44734.0</v>
      </c>
      <c r="N57" s="187">
        <v>8093.45</v>
      </c>
      <c r="O57" s="187">
        <v>8218.55</v>
      </c>
      <c r="Q57" s="188">
        <f t="shared" si="1"/>
        <v>-0.01522166319</v>
      </c>
    </row>
    <row r="58">
      <c r="M58" s="192">
        <v>44735.0</v>
      </c>
      <c r="N58" s="187">
        <v>8173.9</v>
      </c>
      <c r="O58" s="187">
        <v>8093.45</v>
      </c>
      <c r="Q58" s="188">
        <f t="shared" si="1"/>
        <v>0.009940136777</v>
      </c>
    </row>
    <row r="59">
      <c r="M59" s="192">
        <v>44736.0</v>
      </c>
      <c r="N59" s="187">
        <v>8258.6</v>
      </c>
      <c r="O59" s="187">
        <v>8173.9</v>
      </c>
      <c r="Q59" s="188">
        <f t="shared" si="1"/>
        <v>0.01036225058</v>
      </c>
    </row>
    <row r="60">
      <c r="M60" s="192">
        <v>44739.0</v>
      </c>
      <c r="N60" s="187">
        <v>8329.2</v>
      </c>
      <c r="O60" s="187">
        <v>8258.6</v>
      </c>
      <c r="Q60" s="188">
        <f t="shared" si="1"/>
        <v>0.008548664423</v>
      </c>
    </row>
    <row r="61">
      <c r="M61" s="192">
        <v>44740.0</v>
      </c>
      <c r="N61" s="187">
        <v>8340.85</v>
      </c>
      <c r="O61" s="187">
        <v>8329.2</v>
      </c>
      <c r="Q61" s="188">
        <f t="shared" si="1"/>
        <v>0.001398693752</v>
      </c>
    </row>
    <row r="62">
      <c r="M62" s="192">
        <v>44741.0</v>
      </c>
      <c r="N62" s="187">
        <v>8310.55</v>
      </c>
      <c r="O62" s="187">
        <v>8340.85</v>
      </c>
      <c r="Q62" s="188">
        <f t="shared" si="1"/>
        <v>-0.003632723284</v>
      </c>
    </row>
    <row r="63">
      <c r="M63" s="192">
        <v>44742.0</v>
      </c>
      <c r="N63" s="187">
        <v>8290.8</v>
      </c>
      <c r="O63" s="187">
        <v>8310.55</v>
      </c>
      <c r="Q63" s="188">
        <f t="shared" si="1"/>
        <v>-0.002376497344</v>
      </c>
    </row>
    <row r="64">
      <c r="M64" s="186">
        <v>44743.0</v>
      </c>
      <c r="N64" s="187">
        <v>8294.9</v>
      </c>
      <c r="O64" s="187">
        <v>8290.8</v>
      </c>
      <c r="Q64" s="188">
        <f t="shared" si="1"/>
        <v>0.0004945240508</v>
      </c>
    </row>
    <row r="65">
      <c r="M65" s="186">
        <v>44746.0</v>
      </c>
      <c r="N65" s="187">
        <v>8344.1</v>
      </c>
      <c r="O65" s="187">
        <v>8294.9</v>
      </c>
      <c r="Q65" s="188">
        <f t="shared" si="1"/>
        <v>0.005931355411</v>
      </c>
    </row>
    <row r="66">
      <c r="M66" s="186">
        <v>44747.0</v>
      </c>
      <c r="N66" s="187">
        <v>8333.65</v>
      </c>
      <c r="O66" s="187">
        <v>8344.1</v>
      </c>
      <c r="Q66" s="188">
        <f t="shared" si="1"/>
        <v>-0.001252381923</v>
      </c>
    </row>
    <row r="67">
      <c r="M67" s="186">
        <v>44748.0</v>
      </c>
      <c r="N67" s="187">
        <v>8442.65</v>
      </c>
      <c r="O67" s="187">
        <v>8333.65</v>
      </c>
      <c r="Q67" s="188">
        <f t="shared" si="1"/>
        <v>0.01307950298</v>
      </c>
    </row>
    <row r="68">
      <c r="M68" s="186">
        <v>44749.0</v>
      </c>
      <c r="N68" s="187">
        <v>8522.5</v>
      </c>
      <c r="O68" s="187">
        <v>8442.65</v>
      </c>
      <c r="Q68" s="188">
        <f t="shared" si="1"/>
        <v>0.009457930863</v>
      </c>
    </row>
    <row r="69">
      <c r="M69" s="186">
        <v>44750.0</v>
      </c>
      <c r="N69" s="187">
        <v>8564.0</v>
      </c>
      <c r="O69" s="187">
        <v>8522.5</v>
      </c>
      <c r="Q69" s="188">
        <f t="shared" si="1"/>
        <v>0.004869463186</v>
      </c>
    </row>
    <row r="70">
      <c r="M70" s="192">
        <v>44753.0</v>
      </c>
      <c r="N70" s="187">
        <v>8593.4</v>
      </c>
      <c r="O70" s="187">
        <v>8564.0</v>
      </c>
      <c r="Q70" s="188">
        <f t="shared" si="1"/>
        <v>0.003432975245</v>
      </c>
    </row>
    <row r="71">
      <c r="M71" s="192">
        <v>44754.0</v>
      </c>
      <c r="N71" s="187">
        <v>8524.3</v>
      </c>
      <c r="O71" s="187">
        <v>8593.4</v>
      </c>
      <c r="Q71" s="188">
        <f t="shared" si="1"/>
        <v>-0.008041054763</v>
      </c>
    </row>
    <row r="72">
      <c r="M72" s="192">
        <v>44755.0</v>
      </c>
      <c r="N72" s="187">
        <v>8487.35</v>
      </c>
      <c r="O72" s="187">
        <v>8524.3</v>
      </c>
      <c r="Q72" s="188">
        <f t="shared" si="1"/>
        <v>-0.004334666776</v>
      </c>
    </row>
    <row r="73">
      <c r="M73" s="192">
        <v>44756.0</v>
      </c>
      <c r="N73" s="187">
        <v>8475.45</v>
      </c>
      <c r="O73" s="187">
        <v>8487.35</v>
      </c>
      <c r="Q73" s="188">
        <f t="shared" si="1"/>
        <v>-0.001402086635</v>
      </c>
    </row>
    <row r="74">
      <c r="M74" s="192">
        <v>44757.0</v>
      </c>
      <c r="N74" s="187">
        <v>8531.35</v>
      </c>
      <c r="O74" s="187">
        <v>8475.45</v>
      </c>
      <c r="Q74" s="188">
        <f t="shared" si="1"/>
        <v>0.006595520002</v>
      </c>
    </row>
    <row r="75">
      <c r="M75" s="192">
        <v>44760.0</v>
      </c>
      <c r="N75" s="187">
        <v>8651.95</v>
      </c>
      <c r="O75" s="187">
        <v>8531.35</v>
      </c>
      <c r="Q75" s="188">
        <f t="shared" si="1"/>
        <v>0.01413609804</v>
      </c>
    </row>
    <row r="76">
      <c r="M76" s="192">
        <v>44761.0</v>
      </c>
      <c r="N76" s="187">
        <v>8689.65</v>
      </c>
      <c r="O76" s="187">
        <v>8651.95</v>
      </c>
      <c r="Q76" s="188">
        <f t="shared" si="1"/>
        <v>0.004357399199</v>
      </c>
    </row>
    <row r="77">
      <c r="M77" s="192">
        <v>44762.0</v>
      </c>
      <c r="N77" s="187">
        <v>8763.85</v>
      </c>
      <c r="O77" s="187">
        <v>8689.65</v>
      </c>
      <c r="Q77" s="188">
        <f t="shared" si="1"/>
        <v>0.008538893972</v>
      </c>
    </row>
    <row r="78">
      <c r="M78" s="192">
        <v>44763.0</v>
      </c>
      <c r="N78" s="187">
        <v>8829.1</v>
      </c>
      <c r="O78" s="187">
        <v>8763.85</v>
      </c>
      <c r="Q78" s="188">
        <f t="shared" si="1"/>
        <v>0.007445357919</v>
      </c>
    </row>
    <row r="79">
      <c r="M79" s="192">
        <v>44764.0</v>
      </c>
      <c r="N79" s="187">
        <v>8869.2</v>
      </c>
      <c r="O79" s="187">
        <v>8829.1</v>
      </c>
      <c r="Q79" s="188">
        <f t="shared" si="1"/>
        <v>0.004541799277</v>
      </c>
    </row>
    <row r="80">
      <c r="M80" s="192">
        <v>44767.0</v>
      </c>
      <c r="N80" s="187">
        <v>8832.6</v>
      </c>
      <c r="O80" s="187">
        <v>8869.2</v>
      </c>
      <c r="Q80" s="188">
        <f t="shared" si="1"/>
        <v>-0.004126640509</v>
      </c>
    </row>
    <row r="81">
      <c r="M81" s="192">
        <v>44768.0</v>
      </c>
      <c r="N81" s="187">
        <v>8745.85</v>
      </c>
      <c r="O81" s="187">
        <v>8832.6</v>
      </c>
      <c r="Q81" s="188">
        <f t="shared" si="1"/>
        <v>-0.009821570093</v>
      </c>
    </row>
    <row r="82">
      <c r="M82" s="192">
        <v>44769.0</v>
      </c>
      <c r="N82" s="187">
        <v>8829.6</v>
      </c>
      <c r="O82" s="187">
        <v>8745.85</v>
      </c>
      <c r="Q82" s="188">
        <f t="shared" si="1"/>
        <v>0.009575970317</v>
      </c>
    </row>
    <row r="83">
      <c r="M83" s="192">
        <v>44770.0</v>
      </c>
      <c r="N83" s="187">
        <v>8966.1</v>
      </c>
      <c r="O83" s="187">
        <v>8829.6</v>
      </c>
      <c r="Q83" s="188">
        <f t="shared" si="1"/>
        <v>0.01545936396</v>
      </c>
    </row>
    <row r="84">
      <c r="M84" s="192">
        <v>44771.0</v>
      </c>
      <c r="N84" s="187">
        <v>9087.65</v>
      </c>
      <c r="O84" s="187">
        <v>8966.1</v>
      </c>
      <c r="Q84" s="188">
        <f t="shared" si="1"/>
        <v>0.01355661882</v>
      </c>
    </row>
    <row r="85">
      <c r="M85" s="186">
        <v>44774.0</v>
      </c>
      <c r="N85" s="187">
        <v>9197.65</v>
      </c>
      <c r="O85" s="187">
        <v>9087.65</v>
      </c>
      <c r="Q85" s="188">
        <f t="shared" si="1"/>
        <v>0.01210433941</v>
      </c>
    </row>
    <row r="86">
      <c r="M86" s="186">
        <v>44775.0</v>
      </c>
      <c r="N86" s="187">
        <v>9210.65</v>
      </c>
      <c r="O86" s="187">
        <v>9197.65</v>
      </c>
      <c r="Q86" s="188">
        <f t="shared" si="1"/>
        <v>0.001413404511</v>
      </c>
    </row>
    <row r="87">
      <c r="M87" s="186">
        <v>44776.0</v>
      </c>
      <c r="N87" s="187">
        <v>9214.3</v>
      </c>
      <c r="O87" s="187">
        <v>9210.65</v>
      </c>
      <c r="Q87" s="188">
        <f t="shared" si="1"/>
        <v>0.0003962803928</v>
      </c>
    </row>
    <row r="88">
      <c r="M88" s="186">
        <v>44777.0</v>
      </c>
      <c r="N88" s="187">
        <v>9224.7</v>
      </c>
      <c r="O88" s="187">
        <v>9214.3</v>
      </c>
      <c r="Q88" s="188">
        <f t="shared" si="1"/>
        <v>0.001128680421</v>
      </c>
    </row>
    <row r="89">
      <c r="M89" s="186">
        <v>44778.0</v>
      </c>
      <c r="N89" s="187">
        <v>9228.7</v>
      </c>
      <c r="O89" s="187">
        <v>9224.7</v>
      </c>
      <c r="Q89" s="188">
        <f t="shared" si="1"/>
        <v>0.0004336184375</v>
      </c>
    </row>
    <row r="90">
      <c r="M90" s="186">
        <v>44781.0</v>
      </c>
      <c r="N90" s="187">
        <v>9291.6</v>
      </c>
      <c r="O90" s="187">
        <v>9228.7</v>
      </c>
      <c r="Q90" s="188">
        <f t="shared" si="1"/>
        <v>0.006815694518</v>
      </c>
    </row>
    <row r="91">
      <c r="M91" s="192">
        <v>44783.0</v>
      </c>
      <c r="N91" s="187">
        <v>9289.7</v>
      </c>
      <c r="O91" s="187">
        <v>9291.6</v>
      </c>
      <c r="Q91" s="188">
        <f t="shared" si="1"/>
        <v>-0.0002044857721</v>
      </c>
    </row>
    <row r="92">
      <c r="M92" s="192">
        <v>44784.0</v>
      </c>
      <c r="N92" s="187">
        <v>9358.95</v>
      </c>
      <c r="O92" s="187">
        <v>9289.7</v>
      </c>
      <c r="Q92" s="188">
        <f t="shared" si="1"/>
        <v>0.00745449261</v>
      </c>
    </row>
    <row r="93">
      <c r="M93" s="192">
        <v>44785.0</v>
      </c>
      <c r="N93" s="187">
        <v>9387.5</v>
      </c>
      <c r="O93" s="187">
        <v>9358.95</v>
      </c>
      <c r="Q93" s="188">
        <f t="shared" si="1"/>
        <v>0.003050555885</v>
      </c>
    </row>
    <row r="94">
      <c r="M94" s="192">
        <v>44789.0</v>
      </c>
      <c r="N94" s="187">
        <v>9473.95</v>
      </c>
      <c r="O94" s="187">
        <v>9387.5</v>
      </c>
      <c r="Q94" s="188">
        <f t="shared" si="1"/>
        <v>0.009209054594</v>
      </c>
    </row>
    <row r="95">
      <c r="M95" s="192">
        <v>44790.0</v>
      </c>
      <c r="N95" s="187">
        <v>9538.0</v>
      </c>
      <c r="O95" s="187">
        <v>9473.95</v>
      </c>
      <c r="Q95" s="188">
        <f t="shared" si="1"/>
        <v>0.00676064366</v>
      </c>
    </row>
    <row r="96">
      <c r="M96" s="192">
        <v>44791.0</v>
      </c>
      <c r="N96" s="187">
        <v>9553.5</v>
      </c>
      <c r="O96" s="187">
        <v>9538.0</v>
      </c>
      <c r="Q96" s="188">
        <f t="shared" si="1"/>
        <v>0.001625078633</v>
      </c>
    </row>
    <row r="97">
      <c r="M97" s="192">
        <v>44792.0</v>
      </c>
      <c r="N97" s="187">
        <v>9447.35</v>
      </c>
      <c r="O97" s="187">
        <v>9553.5</v>
      </c>
      <c r="Q97" s="188">
        <f t="shared" si="1"/>
        <v>-0.01111111111</v>
      </c>
    </row>
    <row r="98">
      <c r="M98" s="192">
        <v>44795.0</v>
      </c>
      <c r="N98" s="187">
        <v>9295.6</v>
      </c>
      <c r="O98" s="187">
        <v>9447.35</v>
      </c>
      <c r="Q98" s="188">
        <f t="shared" si="1"/>
        <v>-0.01606270541</v>
      </c>
    </row>
    <row r="99">
      <c r="M99" s="192">
        <v>44796.0</v>
      </c>
      <c r="N99" s="187">
        <v>9349.05</v>
      </c>
      <c r="O99" s="187">
        <v>9295.6</v>
      </c>
      <c r="Q99" s="188">
        <f t="shared" si="1"/>
        <v>0.005750032273</v>
      </c>
    </row>
    <row r="100">
      <c r="M100" s="192">
        <v>44797.0</v>
      </c>
      <c r="N100" s="187">
        <v>9375.95</v>
      </c>
      <c r="O100" s="187">
        <v>9349.05</v>
      </c>
      <c r="Q100" s="188">
        <f t="shared" si="1"/>
        <v>0.002877297693</v>
      </c>
    </row>
    <row r="101">
      <c r="M101" s="192">
        <v>44798.0</v>
      </c>
      <c r="N101" s="187">
        <v>9343.75</v>
      </c>
      <c r="O101" s="187">
        <v>9375.95</v>
      </c>
      <c r="Q101" s="188">
        <f t="shared" si="1"/>
        <v>-0.003434318656</v>
      </c>
    </row>
    <row r="102">
      <c r="M102" s="192">
        <v>44799.0</v>
      </c>
      <c r="N102" s="187">
        <v>9371.55</v>
      </c>
      <c r="O102" s="187">
        <v>9343.75</v>
      </c>
      <c r="Q102" s="188">
        <f t="shared" si="1"/>
        <v>0.002975250836</v>
      </c>
    </row>
    <row r="103">
      <c r="M103" s="192">
        <v>44802.0</v>
      </c>
      <c r="N103" s="187">
        <v>9258.1</v>
      </c>
      <c r="O103" s="187">
        <v>9371.55</v>
      </c>
      <c r="Q103" s="188">
        <f t="shared" si="1"/>
        <v>-0.01210578826</v>
      </c>
    </row>
    <row r="104">
      <c r="M104" s="192">
        <v>44803.0</v>
      </c>
      <c r="N104" s="187">
        <v>9485.6</v>
      </c>
      <c r="O104" s="187">
        <v>9258.1</v>
      </c>
      <c r="Q104" s="188">
        <f t="shared" si="1"/>
        <v>0.02457307655</v>
      </c>
    </row>
    <row r="105">
      <c r="M105" s="184" t="s">
        <v>212</v>
      </c>
      <c r="N105" s="187">
        <v>9401.95</v>
      </c>
      <c r="O105" s="187">
        <v>9485.6</v>
      </c>
      <c r="Q105" s="188">
        <f t="shared" si="1"/>
        <v>-0.008818630345</v>
      </c>
    </row>
    <row r="106">
      <c r="M106" s="184" t="s">
        <v>213</v>
      </c>
      <c r="N106" s="187">
        <v>9393.5</v>
      </c>
      <c r="O106" s="187">
        <v>9401.95</v>
      </c>
      <c r="Q106" s="188">
        <f t="shared" si="1"/>
        <v>-0.0008987497275</v>
      </c>
    </row>
    <row r="107">
      <c r="M107" s="184" t="s">
        <v>214</v>
      </c>
      <c r="N107" s="187">
        <v>9446.25</v>
      </c>
      <c r="O107" s="187">
        <v>9393.5</v>
      </c>
      <c r="Q107" s="188">
        <f t="shared" si="1"/>
        <v>0.005615585245</v>
      </c>
    </row>
    <row r="108">
      <c r="M108" s="184" t="s">
        <v>215</v>
      </c>
      <c r="N108" s="187">
        <v>9458.15</v>
      </c>
      <c r="O108" s="187">
        <v>9446.25</v>
      </c>
      <c r="Q108" s="188">
        <f t="shared" si="1"/>
        <v>0.001259759164</v>
      </c>
    </row>
    <row r="109">
      <c r="M109" s="184" t="s">
        <v>216</v>
      </c>
      <c r="N109" s="187">
        <v>9454.2</v>
      </c>
      <c r="O109" s="187">
        <v>9458.15</v>
      </c>
      <c r="Q109" s="188">
        <f t="shared" si="1"/>
        <v>-0.0004176292404</v>
      </c>
    </row>
    <row r="110">
      <c r="M110" s="184" t="s">
        <v>217</v>
      </c>
      <c r="N110" s="187">
        <v>9529.3</v>
      </c>
      <c r="O110" s="187">
        <v>9454.2</v>
      </c>
      <c r="Q110" s="188">
        <f t="shared" si="1"/>
        <v>0.007943559476</v>
      </c>
    </row>
    <row r="111">
      <c r="M111" s="184" t="s">
        <v>218</v>
      </c>
      <c r="N111" s="187">
        <v>9547.15</v>
      </c>
      <c r="O111" s="187">
        <v>9529.3</v>
      </c>
      <c r="Q111" s="188">
        <f t="shared" si="1"/>
        <v>0.001873170117</v>
      </c>
    </row>
    <row r="112">
      <c r="M112" s="184" t="s">
        <v>219</v>
      </c>
      <c r="N112" s="187">
        <v>9614.9</v>
      </c>
      <c r="O112" s="187">
        <v>9547.15</v>
      </c>
      <c r="Q112" s="188">
        <f t="shared" si="1"/>
        <v>0.007096358599</v>
      </c>
    </row>
    <row r="113">
      <c r="M113" s="184" t="s">
        <v>220</v>
      </c>
      <c r="N113" s="187">
        <v>9677.65</v>
      </c>
      <c r="O113" s="187">
        <v>9614.9</v>
      </c>
      <c r="Q113" s="188">
        <f t="shared" si="1"/>
        <v>0.006526328927</v>
      </c>
    </row>
    <row r="114">
      <c r="M114" s="184" t="s">
        <v>221</v>
      </c>
      <c r="N114" s="187">
        <v>9651.5</v>
      </c>
      <c r="O114" s="187">
        <v>9677.65</v>
      </c>
      <c r="Q114" s="188">
        <f t="shared" si="1"/>
        <v>-0.002702102267</v>
      </c>
    </row>
    <row r="115">
      <c r="M115" s="184" t="s">
        <v>222</v>
      </c>
      <c r="N115" s="187">
        <v>9616.5</v>
      </c>
      <c r="O115" s="187">
        <v>9651.5</v>
      </c>
      <c r="Q115" s="188">
        <f t="shared" si="1"/>
        <v>-0.003626379319</v>
      </c>
    </row>
    <row r="116">
      <c r="M116" s="184" t="s">
        <v>223</v>
      </c>
      <c r="N116" s="187">
        <v>9407.3</v>
      </c>
      <c r="O116" s="187">
        <v>9616.5</v>
      </c>
      <c r="Q116" s="188">
        <f t="shared" si="1"/>
        <v>-0.0217542765</v>
      </c>
    </row>
    <row r="117">
      <c r="M117" s="184" t="s">
        <v>224</v>
      </c>
      <c r="N117" s="187">
        <v>9447.1</v>
      </c>
      <c r="O117" s="187">
        <v>9407.3</v>
      </c>
      <c r="Q117" s="188">
        <f t="shared" si="1"/>
        <v>0.004230756965</v>
      </c>
    </row>
    <row r="118">
      <c r="M118" s="184" t="s">
        <v>225</v>
      </c>
      <c r="N118" s="187">
        <v>9554.7</v>
      </c>
      <c r="O118" s="187">
        <v>9447.1</v>
      </c>
      <c r="Q118" s="188">
        <f t="shared" si="1"/>
        <v>0.01138973865</v>
      </c>
    </row>
    <row r="119">
      <c r="M119" s="184" t="s">
        <v>226</v>
      </c>
      <c r="N119" s="187">
        <v>9486.05</v>
      </c>
      <c r="O119" s="187">
        <v>9554.7</v>
      </c>
      <c r="Q119" s="188">
        <f t="shared" si="1"/>
        <v>-0.007184945629</v>
      </c>
    </row>
    <row r="120">
      <c r="M120" s="184" t="s">
        <v>227</v>
      </c>
      <c r="N120" s="187">
        <v>9462.65</v>
      </c>
      <c r="O120" s="187">
        <v>9486.05</v>
      </c>
      <c r="Q120" s="188">
        <f t="shared" si="1"/>
        <v>-0.002466780167</v>
      </c>
    </row>
    <row r="121">
      <c r="M121" s="184" t="s">
        <v>228</v>
      </c>
      <c r="N121" s="187">
        <v>9290.85</v>
      </c>
      <c r="O121" s="187">
        <v>9462.65</v>
      </c>
      <c r="Q121" s="188">
        <f t="shared" si="1"/>
        <v>-0.01815559066</v>
      </c>
    </row>
    <row r="122">
      <c r="M122" s="184" t="s">
        <v>229</v>
      </c>
      <c r="N122" s="187">
        <v>9095.7</v>
      </c>
      <c r="O122" s="187">
        <v>9290.85</v>
      </c>
      <c r="Q122" s="188">
        <f t="shared" si="1"/>
        <v>-0.02100453672</v>
      </c>
    </row>
    <row r="123">
      <c r="M123" s="184" t="s">
        <v>230</v>
      </c>
      <c r="N123" s="187">
        <v>9093.9</v>
      </c>
      <c r="O123" s="187">
        <v>9095.7</v>
      </c>
      <c r="Q123" s="188">
        <f t="shared" si="1"/>
        <v>-0.000197895709</v>
      </c>
    </row>
    <row r="124">
      <c r="M124" s="184" t="s">
        <v>231</v>
      </c>
      <c r="N124" s="187">
        <v>9023.6</v>
      </c>
      <c r="O124" s="187">
        <v>9093.9</v>
      </c>
      <c r="Q124" s="188">
        <f t="shared" si="1"/>
        <v>-0.00773045668</v>
      </c>
    </row>
    <row r="125">
      <c r="M125" s="184" t="s">
        <v>232</v>
      </c>
      <c r="N125" s="187">
        <v>9005.1</v>
      </c>
      <c r="O125" s="187">
        <v>9023.6</v>
      </c>
      <c r="Q125" s="188">
        <f t="shared" si="1"/>
        <v>-0.002050179529</v>
      </c>
    </row>
    <row r="126">
      <c r="M126" s="184" t="s">
        <v>233</v>
      </c>
      <c r="N126" s="187">
        <v>9147.45</v>
      </c>
      <c r="O126" s="187">
        <v>9005.1</v>
      </c>
      <c r="Q126" s="188">
        <f t="shared" si="1"/>
        <v>0.01580770896</v>
      </c>
    </row>
    <row r="127">
      <c r="M127" s="186">
        <v>44837.0</v>
      </c>
      <c r="N127" s="187">
        <v>9019.5</v>
      </c>
      <c r="O127" s="187">
        <v>9147.45</v>
      </c>
      <c r="Q127" s="188">
        <f t="shared" si="1"/>
        <v>-0.01398750471</v>
      </c>
    </row>
    <row r="128">
      <c r="M128" s="186">
        <v>44838.0</v>
      </c>
      <c r="N128" s="187">
        <v>9232.55</v>
      </c>
      <c r="O128" s="187">
        <v>9019.5</v>
      </c>
      <c r="Q128" s="188">
        <f t="shared" si="1"/>
        <v>0.0236210433</v>
      </c>
    </row>
    <row r="129">
      <c r="M129" s="186">
        <v>44840.0</v>
      </c>
      <c r="N129" s="187">
        <v>9281.25</v>
      </c>
      <c r="O129" s="187">
        <v>9232.55</v>
      </c>
      <c r="Q129" s="188">
        <f t="shared" si="1"/>
        <v>0.005274815733</v>
      </c>
    </row>
    <row r="130">
      <c r="M130" s="186">
        <v>44841.0</v>
      </c>
      <c r="N130" s="187">
        <v>9268.6</v>
      </c>
      <c r="O130" s="187">
        <v>9281.25</v>
      </c>
      <c r="Q130" s="188">
        <f t="shared" si="1"/>
        <v>-0.001362962963</v>
      </c>
    </row>
    <row r="131">
      <c r="M131" s="192">
        <v>44844.0</v>
      </c>
      <c r="N131" s="187">
        <v>9216.75</v>
      </c>
      <c r="O131" s="187">
        <v>9268.6</v>
      </c>
      <c r="Q131" s="188">
        <f t="shared" si="1"/>
        <v>-0.005594156615</v>
      </c>
    </row>
    <row r="132">
      <c r="M132" s="192">
        <v>44845.0</v>
      </c>
      <c r="N132" s="187">
        <v>9073.8</v>
      </c>
      <c r="O132" s="187">
        <v>9216.75</v>
      </c>
      <c r="Q132" s="188">
        <f t="shared" si="1"/>
        <v>-0.01550980552</v>
      </c>
    </row>
    <row r="133">
      <c r="M133" s="192">
        <v>44846.0</v>
      </c>
      <c r="N133" s="187">
        <v>9143.9</v>
      </c>
      <c r="O133" s="187">
        <v>9073.8</v>
      </c>
      <c r="Q133" s="188">
        <f t="shared" si="1"/>
        <v>0.007725539465</v>
      </c>
    </row>
    <row r="134">
      <c r="M134" s="192">
        <v>44847.0</v>
      </c>
      <c r="N134" s="187">
        <v>9080.35</v>
      </c>
      <c r="O134" s="187">
        <v>9143.9</v>
      </c>
      <c r="Q134" s="188">
        <f t="shared" si="1"/>
        <v>-0.006949988517</v>
      </c>
    </row>
    <row r="135">
      <c r="M135" s="192">
        <v>44848.0</v>
      </c>
      <c r="N135" s="187">
        <v>9139.1</v>
      </c>
      <c r="O135" s="187">
        <v>9080.35</v>
      </c>
      <c r="Q135" s="188">
        <f t="shared" si="1"/>
        <v>0.006470014922</v>
      </c>
    </row>
    <row r="136">
      <c r="M136" s="192">
        <v>44851.0</v>
      </c>
      <c r="N136" s="187">
        <v>9199.35</v>
      </c>
      <c r="O136" s="187">
        <v>9139.1</v>
      </c>
      <c r="Q136" s="188">
        <f t="shared" si="1"/>
        <v>0.006592552877</v>
      </c>
    </row>
    <row r="137">
      <c r="M137" s="192">
        <v>44852.0</v>
      </c>
      <c r="N137" s="187">
        <v>9294.85</v>
      </c>
      <c r="O137" s="187">
        <v>9199.35</v>
      </c>
      <c r="Q137" s="188">
        <f t="shared" si="1"/>
        <v>0.01038116823</v>
      </c>
    </row>
    <row r="138">
      <c r="M138" s="192">
        <v>44853.0</v>
      </c>
      <c r="N138" s="187">
        <v>9304.7</v>
      </c>
      <c r="O138" s="187">
        <v>9294.85</v>
      </c>
      <c r="Q138" s="188">
        <f t="shared" si="1"/>
        <v>0.001059726623</v>
      </c>
    </row>
    <row r="139">
      <c r="M139" s="192">
        <v>44854.0</v>
      </c>
      <c r="N139" s="187">
        <v>9334.9</v>
      </c>
      <c r="O139" s="187">
        <v>9304.7</v>
      </c>
      <c r="Q139" s="188">
        <f t="shared" si="1"/>
        <v>0.003245671542</v>
      </c>
    </row>
    <row r="140">
      <c r="M140" s="192">
        <v>44855.0</v>
      </c>
      <c r="N140" s="187">
        <v>9317.35</v>
      </c>
      <c r="O140" s="187">
        <v>9334.9</v>
      </c>
      <c r="Q140" s="188">
        <f t="shared" si="1"/>
        <v>-0.001880041564</v>
      </c>
    </row>
    <row r="141">
      <c r="M141" s="192">
        <v>44858.0</v>
      </c>
      <c r="N141" s="187">
        <v>9388.35</v>
      </c>
      <c r="O141" s="187">
        <v>9317.35</v>
      </c>
      <c r="Q141" s="188">
        <f t="shared" si="1"/>
        <v>0.007620192437</v>
      </c>
    </row>
    <row r="142">
      <c r="M142" s="192">
        <v>44859.0</v>
      </c>
      <c r="N142" s="187">
        <v>9364.5</v>
      </c>
      <c r="O142" s="187">
        <v>9388.35</v>
      </c>
      <c r="Q142" s="188">
        <f t="shared" si="1"/>
        <v>-0.002540382495</v>
      </c>
    </row>
    <row r="143">
      <c r="M143" s="192">
        <v>44861.0</v>
      </c>
      <c r="N143" s="187">
        <v>9418.2</v>
      </c>
      <c r="O143" s="187">
        <v>9364.5</v>
      </c>
      <c r="Q143" s="188">
        <f t="shared" si="1"/>
        <v>0.005734422553</v>
      </c>
    </row>
    <row r="144">
      <c r="M144" s="192">
        <v>44862.0</v>
      </c>
      <c r="N144" s="187">
        <v>9424.55</v>
      </c>
      <c r="O144" s="187">
        <v>9418.2</v>
      </c>
      <c r="Q144" s="188">
        <f t="shared" si="1"/>
        <v>0.0006742264976</v>
      </c>
    </row>
    <row r="145">
      <c r="M145" s="192">
        <v>44865.0</v>
      </c>
      <c r="N145" s="187">
        <v>9544.4</v>
      </c>
      <c r="O145" s="187">
        <v>9424.55</v>
      </c>
      <c r="Q145" s="188">
        <f t="shared" si="1"/>
        <v>0.01271678754</v>
      </c>
    </row>
    <row r="146">
      <c r="M146" s="186">
        <v>44866.0</v>
      </c>
      <c r="N146" s="187">
        <v>9618.8</v>
      </c>
      <c r="O146" s="187">
        <v>9544.4</v>
      </c>
      <c r="Q146" s="188">
        <f t="shared" si="1"/>
        <v>0.007795146892</v>
      </c>
    </row>
    <row r="147">
      <c r="M147" s="186">
        <v>44867.0</v>
      </c>
      <c r="N147" s="187">
        <v>9590.05</v>
      </c>
      <c r="O147" s="187">
        <v>9618.8</v>
      </c>
      <c r="Q147" s="188">
        <f t="shared" si="1"/>
        <v>-0.002988938329</v>
      </c>
    </row>
    <row r="148">
      <c r="M148" s="186">
        <v>44868.0</v>
      </c>
      <c r="N148" s="187">
        <v>9582.75</v>
      </c>
      <c r="O148" s="187">
        <v>9590.05</v>
      </c>
      <c r="Q148" s="188">
        <f t="shared" si="1"/>
        <v>-0.0007612056246</v>
      </c>
    </row>
    <row r="149">
      <c r="M149" s="186">
        <v>44869.0</v>
      </c>
      <c r="N149" s="187">
        <v>9608.95</v>
      </c>
      <c r="O149" s="187">
        <v>9582.75</v>
      </c>
      <c r="Q149" s="188">
        <f t="shared" si="1"/>
        <v>0.002734079466</v>
      </c>
    </row>
    <row r="150">
      <c r="M150" s="186">
        <v>44872.0</v>
      </c>
      <c r="N150" s="187">
        <v>9659.35</v>
      </c>
      <c r="O150" s="187">
        <v>9608.95</v>
      </c>
      <c r="Q150" s="188">
        <f t="shared" si="1"/>
        <v>0.005245110028</v>
      </c>
    </row>
    <row r="151">
      <c r="M151" s="186">
        <v>44874.0</v>
      </c>
      <c r="N151" s="187">
        <v>9630.15</v>
      </c>
      <c r="O151" s="187">
        <v>9659.35</v>
      </c>
      <c r="Q151" s="188">
        <f t="shared" si="1"/>
        <v>-0.003022977737</v>
      </c>
    </row>
    <row r="152">
      <c r="M152" s="192">
        <v>44875.0</v>
      </c>
      <c r="N152" s="187">
        <v>9552.4</v>
      </c>
      <c r="O152" s="187">
        <v>9630.15</v>
      </c>
      <c r="Q152" s="188">
        <f t="shared" si="1"/>
        <v>-0.008073602176</v>
      </c>
    </row>
    <row r="153">
      <c r="M153" s="192">
        <v>44876.0</v>
      </c>
      <c r="N153" s="187">
        <v>9693.1</v>
      </c>
      <c r="O153" s="187">
        <v>9552.4</v>
      </c>
      <c r="Q153" s="188">
        <f t="shared" si="1"/>
        <v>0.01472928269</v>
      </c>
    </row>
    <row r="154">
      <c r="M154" s="192">
        <v>44879.0</v>
      </c>
      <c r="N154" s="187">
        <v>9691.5</v>
      </c>
      <c r="O154" s="187">
        <v>9693.1</v>
      </c>
      <c r="Q154" s="188">
        <f t="shared" si="1"/>
        <v>-0.0001650658716</v>
      </c>
    </row>
    <row r="155">
      <c r="M155" s="192">
        <v>44880.0</v>
      </c>
      <c r="N155" s="187">
        <v>9722.3</v>
      </c>
      <c r="O155" s="187">
        <v>9691.5</v>
      </c>
      <c r="Q155" s="188">
        <f t="shared" si="1"/>
        <v>0.003178042615</v>
      </c>
    </row>
    <row r="156">
      <c r="M156" s="192">
        <v>44881.0</v>
      </c>
      <c r="N156" s="187">
        <v>9705.25</v>
      </c>
      <c r="O156" s="187">
        <v>9722.3</v>
      </c>
      <c r="Q156" s="188">
        <f t="shared" si="1"/>
        <v>-0.001753700256</v>
      </c>
    </row>
    <row r="157">
      <c r="M157" s="192">
        <v>44882.0</v>
      </c>
      <c r="N157" s="187">
        <v>9662.5</v>
      </c>
      <c r="O157" s="187">
        <v>9705.25</v>
      </c>
      <c r="Q157" s="188">
        <f t="shared" si="1"/>
        <v>-0.004404832436</v>
      </c>
    </row>
    <row r="158">
      <c r="M158" s="192">
        <v>44883.0</v>
      </c>
      <c r="N158" s="187">
        <v>9634.0</v>
      </c>
      <c r="O158" s="187">
        <v>9662.5</v>
      </c>
      <c r="Q158" s="188">
        <f t="shared" si="1"/>
        <v>-0.002949547219</v>
      </c>
    </row>
    <row r="159">
      <c r="M159" s="192">
        <v>44886.0</v>
      </c>
      <c r="N159" s="187">
        <v>9565.55</v>
      </c>
      <c r="O159" s="187">
        <v>9634.0</v>
      </c>
      <c r="Q159" s="188">
        <f t="shared" si="1"/>
        <v>-0.007105044634</v>
      </c>
    </row>
    <row r="160">
      <c r="M160" s="192">
        <v>44887.0</v>
      </c>
      <c r="N160" s="187">
        <v>9605.35</v>
      </c>
      <c r="O160" s="187">
        <v>9565.55</v>
      </c>
      <c r="Q160" s="188">
        <f t="shared" si="1"/>
        <v>0.00416076441</v>
      </c>
    </row>
    <row r="161">
      <c r="M161" s="192">
        <v>44888.0</v>
      </c>
      <c r="N161" s="187">
        <v>9620.45</v>
      </c>
      <c r="O161" s="187">
        <v>9605.35</v>
      </c>
      <c r="Q161" s="188">
        <f t="shared" si="1"/>
        <v>0.001572040582</v>
      </c>
    </row>
    <row r="162">
      <c r="M162" s="192">
        <v>44889.0</v>
      </c>
      <c r="N162" s="187">
        <v>9714.15</v>
      </c>
      <c r="O162" s="187">
        <v>9620.45</v>
      </c>
      <c r="Q162" s="188">
        <f t="shared" si="1"/>
        <v>0.009739669142</v>
      </c>
    </row>
    <row r="163">
      <c r="M163" s="192">
        <v>44890.0</v>
      </c>
      <c r="N163" s="187">
        <v>9737.0</v>
      </c>
      <c r="O163" s="187">
        <v>9714.15</v>
      </c>
      <c r="Q163" s="188">
        <f t="shared" si="1"/>
        <v>0.002352238745</v>
      </c>
    </row>
    <row r="164">
      <c r="M164" s="192">
        <v>44893.0</v>
      </c>
      <c r="N164" s="187">
        <v>9766.35</v>
      </c>
      <c r="O164" s="187">
        <v>9737.0</v>
      </c>
      <c r="Q164" s="188">
        <f t="shared" si="1"/>
        <v>0.003014275444</v>
      </c>
    </row>
    <row r="165">
      <c r="M165" s="192">
        <v>44894.0</v>
      </c>
      <c r="N165" s="187">
        <v>9789.0</v>
      </c>
      <c r="O165" s="187">
        <v>9766.35</v>
      </c>
      <c r="Q165" s="188">
        <f t="shared" si="1"/>
        <v>0.002319187823</v>
      </c>
    </row>
    <row r="166">
      <c r="M166" s="192">
        <v>44895.0</v>
      </c>
      <c r="N166" s="187">
        <v>9876.55</v>
      </c>
      <c r="O166" s="187">
        <v>9789.0</v>
      </c>
      <c r="Q166" s="188">
        <f t="shared" si="1"/>
        <v>0.00894371233</v>
      </c>
    </row>
    <row r="167">
      <c r="M167" s="186">
        <v>44896.0</v>
      </c>
      <c r="N167" s="187">
        <v>9910.5</v>
      </c>
      <c r="O167" s="187">
        <v>9876.55</v>
      </c>
      <c r="Q167" s="188">
        <f t="shared" si="1"/>
        <v>0.003437435137</v>
      </c>
    </row>
    <row r="168">
      <c r="M168" s="186">
        <v>44897.0</v>
      </c>
      <c r="N168" s="187">
        <v>9874.45</v>
      </c>
      <c r="O168" s="187">
        <v>9910.5</v>
      </c>
      <c r="Q168" s="188">
        <f t="shared" si="1"/>
        <v>-0.003637556127</v>
      </c>
    </row>
    <row r="169">
      <c r="M169" s="186">
        <v>44900.0</v>
      </c>
      <c r="N169" s="187">
        <v>9876.35</v>
      </c>
      <c r="O169" s="187">
        <v>9874.45</v>
      </c>
      <c r="Q169" s="188">
        <f t="shared" si="1"/>
        <v>0.0001924157801</v>
      </c>
    </row>
    <row r="170">
      <c r="M170" s="186">
        <v>44901.0</v>
      </c>
      <c r="N170" s="187">
        <v>9849.45</v>
      </c>
      <c r="O170" s="187">
        <v>9876.35</v>
      </c>
      <c r="Q170" s="188">
        <f t="shared" si="1"/>
        <v>-0.002723678282</v>
      </c>
    </row>
    <row r="171">
      <c r="M171" s="186">
        <v>44902.0</v>
      </c>
      <c r="N171" s="187">
        <v>9811.4</v>
      </c>
      <c r="O171" s="187">
        <v>9849.45</v>
      </c>
      <c r="Q171" s="188">
        <f t="shared" si="1"/>
        <v>-0.003863159872</v>
      </c>
    </row>
    <row r="172">
      <c r="M172" s="186">
        <v>44903.0</v>
      </c>
      <c r="N172" s="187">
        <v>9840.85</v>
      </c>
      <c r="O172" s="187">
        <v>9811.4</v>
      </c>
      <c r="Q172" s="188">
        <f t="shared" si="1"/>
        <v>0.003001610372</v>
      </c>
    </row>
    <row r="173">
      <c r="M173" s="186">
        <v>44904.0</v>
      </c>
      <c r="N173" s="187">
        <v>9783.65</v>
      </c>
      <c r="O173" s="187">
        <v>9840.85</v>
      </c>
      <c r="Q173" s="188">
        <f t="shared" si="1"/>
        <v>-0.005812506034</v>
      </c>
    </row>
    <row r="174">
      <c r="M174" s="192">
        <v>44907.0</v>
      </c>
      <c r="N174" s="187">
        <v>9789.6</v>
      </c>
      <c r="O174" s="187">
        <v>9783.65</v>
      </c>
      <c r="Q174" s="188">
        <f t="shared" si="1"/>
        <v>0.0006081574872</v>
      </c>
    </row>
    <row r="175">
      <c r="M175" s="192">
        <v>44908.0</v>
      </c>
      <c r="N175" s="187">
        <v>9837.9</v>
      </c>
      <c r="O175" s="187">
        <v>9789.6</v>
      </c>
      <c r="Q175" s="188">
        <f t="shared" si="1"/>
        <v>0.004933807306</v>
      </c>
    </row>
    <row r="176">
      <c r="M176" s="192">
        <v>44909.0</v>
      </c>
      <c r="N176" s="187">
        <v>9870.85</v>
      </c>
      <c r="O176" s="187">
        <v>9837.9</v>
      </c>
      <c r="Q176" s="188">
        <f t="shared" si="1"/>
        <v>0.003349292024</v>
      </c>
    </row>
    <row r="177">
      <c r="M177" s="192">
        <v>44910.0</v>
      </c>
      <c r="N177" s="187">
        <v>9751.7</v>
      </c>
      <c r="O177" s="187">
        <v>9870.85</v>
      </c>
      <c r="Q177" s="188">
        <f t="shared" si="1"/>
        <v>-0.01207089562</v>
      </c>
    </row>
    <row r="178">
      <c r="M178" s="192">
        <v>44911.0</v>
      </c>
      <c r="N178" s="187">
        <v>9659.35</v>
      </c>
      <c r="O178" s="187">
        <v>9751.7</v>
      </c>
      <c r="Q178" s="188">
        <f t="shared" si="1"/>
        <v>-0.009470143667</v>
      </c>
    </row>
    <row r="179">
      <c r="M179" s="192">
        <v>44914.0</v>
      </c>
      <c r="N179" s="187">
        <v>9738.45</v>
      </c>
      <c r="O179" s="187">
        <v>9659.35</v>
      </c>
      <c r="Q179" s="188">
        <f t="shared" si="1"/>
        <v>0.008188956814</v>
      </c>
    </row>
    <row r="180">
      <c r="M180" s="192">
        <v>44915.0</v>
      </c>
      <c r="N180" s="187">
        <v>9720.15</v>
      </c>
      <c r="O180" s="187">
        <v>9738.45</v>
      </c>
      <c r="Q180" s="188">
        <f t="shared" si="1"/>
        <v>-0.001879149146</v>
      </c>
    </row>
    <row r="181">
      <c r="M181" s="192">
        <v>44916.0</v>
      </c>
      <c r="N181" s="187">
        <v>9605.05</v>
      </c>
      <c r="O181" s="187">
        <v>9720.15</v>
      </c>
      <c r="Q181" s="188">
        <f t="shared" si="1"/>
        <v>-0.01184138105</v>
      </c>
    </row>
    <row r="182">
      <c r="M182" s="192">
        <v>44917.0</v>
      </c>
      <c r="N182" s="187">
        <v>9556.45</v>
      </c>
      <c r="O182" s="187">
        <v>9605.05</v>
      </c>
      <c r="Q182" s="188">
        <f t="shared" si="1"/>
        <v>-0.005059838314</v>
      </c>
    </row>
    <row r="183">
      <c r="M183" s="192">
        <v>44918.0</v>
      </c>
      <c r="N183" s="187">
        <v>9332.9</v>
      </c>
      <c r="O183" s="187">
        <v>9556.45</v>
      </c>
      <c r="Q183" s="188">
        <f t="shared" si="1"/>
        <v>-0.02339257779</v>
      </c>
    </row>
    <row r="184">
      <c r="M184" s="192">
        <v>44921.0</v>
      </c>
      <c r="N184" s="187">
        <v>9477.15</v>
      </c>
      <c r="O184" s="187">
        <v>9332.9</v>
      </c>
      <c r="Q184" s="188">
        <f t="shared" si="1"/>
        <v>0.01545607475</v>
      </c>
    </row>
    <row r="185">
      <c r="M185" s="192">
        <v>44922.0</v>
      </c>
      <c r="N185" s="187">
        <v>9547.9</v>
      </c>
      <c r="O185" s="187">
        <v>9477.15</v>
      </c>
      <c r="Q185" s="188">
        <f t="shared" si="1"/>
        <v>0.007465324491</v>
      </c>
    </row>
    <row r="186">
      <c r="M186" s="192">
        <v>44923.0</v>
      </c>
      <c r="N186" s="187">
        <v>9552.85</v>
      </c>
      <c r="O186" s="187">
        <v>9547.9</v>
      </c>
      <c r="Q186" s="188">
        <f t="shared" si="1"/>
        <v>0.0005184386095</v>
      </c>
    </row>
    <row r="187">
      <c r="M187" s="192">
        <v>44924.0</v>
      </c>
      <c r="N187" s="187">
        <v>9587.0</v>
      </c>
      <c r="O187" s="187">
        <v>9552.85</v>
      </c>
      <c r="Q187" s="188">
        <f t="shared" si="1"/>
        <v>0.00357484939</v>
      </c>
    </row>
    <row r="188">
      <c r="M188" s="192">
        <v>44925.0</v>
      </c>
      <c r="N188" s="187">
        <v>9554.45</v>
      </c>
      <c r="O188" s="187">
        <v>9587.0</v>
      </c>
      <c r="Q188" s="188">
        <f t="shared" si="1"/>
        <v>-0.003395222697</v>
      </c>
    </row>
    <row r="189">
      <c r="M189" s="186">
        <v>44928.0</v>
      </c>
      <c r="N189" s="187">
        <v>9599.75</v>
      </c>
      <c r="O189" s="187">
        <v>9554.45</v>
      </c>
      <c r="Q189" s="188">
        <f t="shared" si="1"/>
        <v>0.004741246226</v>
      </c>
    </row>
    <row r="190">
      <c r="M190" s="186">
        <v>44929.0</v>
      </c>
      <c r="N190" s="187">
        <v>9621.85</v>
      </c>
      <c r="O190" s="187">
        <v>9599.75</v>
      </c>
      <c r="Q190" s="188">
        <f t="shared" si="1"/>
        <v>0.002302143285</v>
      </c>
    </row>
    <row r="191">
      <c r="M191" s="186">
        <v>44930.0</v>
      </c>
      <c r="N191" s="187">
        <v>9515.35</v>
      </c>
      <c r="O191" s="187">
        <v>9621.85</v>
      </c>
      <c r="Q191" s="188">
        <f t="shared" si="1"/>
        <v>-0.0110685575</v>
      </c>
    </row>
    <row r="192">
      <c r="M192" s="186">
        <v>44931.0</v>
      </c>
      <c r="N192" s="187">
        <v>9510.8</v>
      </c>
      <c r="O192" s="187">
        <v>9515.35</v>
      </c>
      <c r="Q192" s="188">
        <f t="shared" si="1"/>
        <v>-0.0004781747387</v>
      </c>
    </row>
    <row r="193">
      <c r="M193" s="186">
        <v>44932.0</v>
      </c>
      <c r="N193" s="187">
        <v>9439.35</v>
      </c>
      <c r="O193" s="187">
        <v>9510.8</v>
      </c>
      <c r="Q193" s="188">
        <f t="shared" si="1"/>
        <v>-0.007512512092</v>
      </c>
    </row>
    <row r="194">
      <c r="M194" s="186">
        <v>44935.0</v>
      </c>
      <c r="N194" s="187">
        <v>9557.9</v>
      </c>
      <c r="O194" s="187">
        <v>9439.35</v>
      </c>
      <c r="Q194" s="188">
        <f t="shared" si="1"/>
        <v>0.01255912748</v>
      </c>
    </row>
    <row r="195">
      <c r="M195" s="192">
        <v>44936.0</v>
      </c>
      <c r="N195" s="187">
        <v>9475.35</v>
      </c>
      <c r="O195" s="187">
        <v>9557.9</v>
      </c>
      <c r="Q195" s="188">
        <f t="shared" si="1"/>
        <v>-0.008636834451</v>
      </c>
    </row>
    <row r="196">
      <c r="M196" s="192">
        <v>44937.0</v>
      </c>
      <c r="N196" s="187">
        <v>9459.2</v>
      </c>
      <c r="O196" s="187">
        <v>9475.35</v>
      </c>
      <c r="Q196" s="188">
        <f t="shared" si="1"/>
        <v>-0.001704422528</v>
      </c>
    </row>
    <row r="197">
      <c r="M197" s="192">
        <v>44938.0</v>
      </c>
      <c r="N197" s="187">
        <v>9443.55</v>
      </c>
      <c r="O197" s="187">
        <v>9459.2</v>
      </c>
      <c r="Q197" s="188">
        <f t="shared" si="1"/>
        <v>-0.001654473951</v>
      </c>
    </row>
    <row r="198">
      <c r="M198" s="192">
        <v>44939.0</v>
      </c>
      <c r="N198" s="187">
        <v>9487.0</v>
      </c>
      <c r="O198" s="187">
        <v>9443.55</v>
      </c>
      <c r="Q198" s="188">
        <f t="shared" si="1"/>
        <v>0.004601023979</v>
      </c>
    </row>
    <row r="199">
      <c r="M199" s="192">
        <v>44942.0</v>
      </c>
      <c r="N199" s="187">
        <v>9460.35</v>
      </c>
      <c r="O199" s="187">
        <v>9487.0</v>
      </c>
      <c r="Q199" s="188">
        <f t="shared" si="1"/>
        <v>-0.002809107199</v>
      </c>
    </row>
    <row r="200">
      <c r="M200" s="192">
        <v>44943.0</v>
      </c>
      <c r="N200" s="187">
        <v>9523.8</v>
      </c>
      <c r="O200" s="187">
        <v>9460.35</v>
      </c>
      <c r="Q200" s="188">
        <f t="shared" si="1"/>
        <v>0.006706940018</v>
      </c>
    </row>
    <row r="201">
      <c r="M201" s="192">
        <v>44944.0</v>
      </c>
      <c r="N201" s="187">
        <v>9571.6</v>
      </c>
      <c r="O201" s="187">
        <v>9523.8</v>
      </c>
      <c r="Q201" s="188">
        <f t="shared" si="1"/>
        <v>0.005019005019</v>
      </c>
    </row>
    <row r="202">
      <c r="M202" s="192">
        <v>44945.0</v>
      </c>
      <c r="N202" s="187">
        <v>9541.65</v>
      </c>
      <c r="O202" s="187">
        <v>9571.6</v>
      </c>
      <c r="Q202" s="188">
        <f t="shared" si="1"/>
        <v>-0.003129048435</v>
      </c>
    </row>
    <row r="203">
      <c r="M203" s="192">
        <v>44946.0</v>
      </c>
      <c r="N203" s="187">
        <v>9497.8</v>
      </c>
      <c r="O203" s="187">
        <v>9541.65</v>
      </c>
      <c r="Q203" s="188">
        <f t="shared" si="1"/>
        <v>-0.004595641215</v>
      </c>
    </row>
    <row r="204">
      <c r="M204" s="192">
        <v>44949.0</v>
      </c>
      <c r="N204" s="187">
        <v>9541.0</v>
      </c>
      <c r="O204" s="187">
        <v>9497.8</v>
      </c>
      <c r="Q204" s="188">
        <f t="shared" si="1"/>
        <v>0.00454842174</v>
      </c>
    </row>
    <row r="205">
      <c r="M205" s="192">
        <v>44950.0</v>
      </c>
      <c r="N205" s="187">
        <v>9534.45</v>
      </c>
      <c r="O205" s="187">
        <v>9541.0</v>
      </c>
      <c r="Q205" s="188">
        <f t="shared" si="1"/>
        <v>-0.0006865108479</v>
      </c>
    </row>
    <row r="206">
      <c r="M206" s="192">
        <v>44951.0</v>
      </c>
      <c r="N206" s="187">
        <v>9393.05</v>
      </c>
      <c r="O206" s="187">
        <v>9534.45</v>
      </c>
      <c r="Q206" s="188">
        <f t="shared" si="1"/>
        <v>-0.0148304307</v>
      </c>
    </row>
    <row r="207">
      <c r="M207" s="192">
        <v>44953.0</v>
      </c>
      <c r="N207" s="187">
        <v>9202.15</v>
      </c>
      <c r="O207" s="187">
        <v>9393.05</v>
      </c>
      <c r="Q207" s="188">
        <f t="shared" si="1"/>
        <v>-0.02032353708</v>
      </c>
    </row>
    <row r="208">
      <c r="M208" s="192">
        <v>44956.0</v>
      </c>
      <c r="N208" s="187">
        <v>9189.65</v>
      </c>
      <c r="O208" s="187">
        <v>9202.15</v>
      </c>
      <c r="Q208" s="188">
        <f t="shared" si="1"/>
        <v>-0.001358378205</v>
      </c>
    </row>
    <row r="209">
      <c r="M209" s="192">
        <v>44957.0</v>
      </c>
      <c r="N209" s="187">
        <v>9222.05</v>
      </c>
      <c r="O209" s="187">
        <v>9189.65</v>
      </c>
      <c r="Q209" s="188">
        <f t="shared" si="1"/>
        <v>0.003525705549</v>
      </c>
    </row>
    <row r="210">
      <c r="M210" s="186">
        <v>44958.0</v>
      </c>
      <c r="N210" s="187">
        <v>9172.1</v>
      </c>
      <c r="O210" s="187">
        <v>9222.05</v>
      </c>
      <c r="Q210" s="188">
        <f t="shared" si="1"/>
        <v>-0.005416366209</v>
      </c>
    </row>
    <row r="211">
      <c r="M211" s="186">
        <v>44959.0</v>
      </c>
      <c r="N211" s="187">
        <v>9162.1</v>
      </c>
      <c r="O211" s="187">
        <v>9172.1</v>
      </c>
      <c r="Q211" s="188">
        <f t="shared" si="1"/>
        <v>-0.001090262862</v>
      </c>
    </row>
    <row r="212">
      <c r="M212" s="186">
        <v>44960.0</v>
      </c>
      <c r="N212" s="187">
        <v>9249.8</v>
      </c>
      <c r="O212" s="187">
        <v>9162.1</v>
      </c>
      <c r="Q212" s="188">
        <f t="shared" si="1"/>
        <v>0.009572041344</v>
      </c>
    </row>
    <row r="213">
      <c r="M213" s="186">
        <v>44963.0</v>
      </c>
      <c r="N213" s="187">
        <v>9226.6</v>
      </c>
      <c r="O213" s="187">
        <v>9249.8</v>
      </c>
      <c r="Q213" s="188">
        <f t="shared" si="1"/>
        <v>-0.002508162339</v>
      </c>
    </row>
    <row r="214">
      <c r="M214" s="186">
        <v>44964.0</v>
      </c>
      <c r="N214" s="187">
        <v>9207.3</v>
      </c>
      <c r="O214" s="187">
        <v>9226.6</v>
      </c>
      <c r="Q214" s="188">
        <f t="shared" si="1"/>
        <v>-0.00209177812</v>
      </c>
    </row>
    <row r="215">
      <c r="M215" s="186">
        <v>44965.0</v>
      </c>
      <c r="N215" s="187">
        <v>9286.7</v>
      </c>
      <c r="O215" s="187">
        <v>9207.3</v>
      </c>
      <c r="Q215" s="188">
        <f t="shared" si="1"/>
        <v>0.00862359215</v>
      </c>
    </row>
    <row r="216">
      <c r="M216" s="186">
        <v>44966.0</v>
      </c>
      <c r="N216" s="187">
        <v>9289.0</v>
      </c>
      <c r="O216" s="187">
        <v>9286.7</v>
      </c>
      <c r="Q216" s="188">
        <f t="shared" si="1"/>
        <v>0.000247666017</v>
      </c>
    </row>
    <row r="217">
      <c r="M217" s="192">
        <v>44967.0</v>
      </c>
      <c r="N217" s="187">
        <v>9274.35</v>
      </c>
      <c r="O217" s="187">
        <v>9289.0</v>
      </c>
      <c r="Q217" s="188">
        <f t="shared" si="1"/>
        <v>-0.001577134245</v>
      </c>
    </row>
    <row r="218">
      <c r="M218" s="192">
        <v>44970.0</v>
      </c>
      <c r="N218" s="187">
        <v>9205.95</v>
      </c>
      <c r="O218" s="187">
        <v>9274.35</v>
      </c>
      <c r="Q218" s="188">
        <f t="shared" si="1"/>
        <v>-0.007375179932</v>
      </c>
    </row>
    <row r="219">
      <c r="M219" s="192">
        <v>44971.0</v>
      </c>
      <c r="N219" s="187">
        <v>9260.7</v>
      </c>
      <c r="O219" s="187">
        <v>9205.95</v>
      </c>
      <c r="Q219" s="188">
        <f t="shared" si="1"/>
        <v>0.005947240643</v>
      </c>
    </row>
    <row r="220">
      <c r="M220" s="192">
        <v>44972.0</v>
      </c>
      <c r="N220" s="187">
        <v>9306.65</v>
      </c>
      <c r="O220" s="187">
        <v>9260.7</v>
      </c>
      <c r="Q220" s="188">
        <f t="shared" si="1"/>
        <v>0.00496182794</v>
      </c>
    </row>
    <row r="221">
      <c r="M221" s="192">
        <v>44973.0</v>
      </c>
      <c r="N221" s="187">
        <v>9327.8</v>
      </c>
      <c r="O221" s="187">
        <v>9306.65</v>
      </c>
      <c r="Q221" s="188">
        <f t="shared" si="1"/>
        <v>0.00227256854</v>
      </c>
    </row>
    <row r="222">
      <c r="M222" s="192">
        <v>44974.0</v>
      </c>
      <c r="N222" s="187">
        <v>9275.45</v>
      </c>
      <c r="O222" s="187">
        <v>9327.8</v>
      </c>
      <c r="Q222" s="188">
        <f t="shared" si="1"/>
        <v>-0.005612255837</v>
      </c>
    </row>
    <row r="223">
      <c r="M223" s="192">
        <v>44977.0</v>
      </c>
      <c r="N223" s="187">
        <v>9233.55</v>
      </c>
      <c r="O223" s="187">
        <v>9275.45</v>
      </c>
      <c r="Q223" s="188">
        <f t="shared" si="1"/>
        <v>-0.004517301047</v>
      </c>
    </row>
    <row r="224">
      <c r="M224" s="192">
        <v>44978.0</v>
      </c>
      <c r="N224" s="187">
        <v>9218.95</v>
      </c>
      <c r="O224" s="187">
        <v>9233.55</v>
      </c>
      <c r="Q224" s="188">
        <f t="shared" si="1"/>
        <v>-0.001581190333</v>
      </c>
    </row>
    <row r="225">
      <c r="M225" s="192">
        <v>44979.0</v>
      </c>
      <c r="N225" s="187">
        <v>9082.65</v>
      </c>
      <c r="O225" s="187">
        <v>9218.95</v>
      </c>
      <c r="Q225" s="188">
        <f t="shared" si="1"/>
        <v>-0.01478476399</v>
      </c>
    </row>
    <row r="226">
      <c r="M226" s="192">
        <v>44980.0</v>
      </c>
      <c r="N226" s="187">
        <v>9058.7</v>
      </c>
      <c r="O226" s="187">
        <v>9082.65</v>
      </c>
      <c r="Q226" s="188">
        <f t="shared" si="1"/>
        <v>-0.00263689562</v>
      </c>
    </row>
    <row r="227">
      <c r="M227" s="192">
        <v>44981.0</v>
      </c>
      <c r="N227" s="187">
        <v>9036.15</v>
      </c>
      <c r="O227" s="187">
        <v>9058.7</v>
      </c>
      <c r="Q227" s="188">
        <f t="shared" si="1"/>
        <v>-0.00248931966</v>
      </c>
    </row>
    <row r="228">
      <c r="M228" s="192">
        <v>44984.0</v>
      </c>
      <c r="N228" s="187">
        <v>8988.8</v>
      </c>
      <c r="O228" s="187">
        <v>9036.15</v>
      </c>
      <c r="Q228" s="188">
        <f t="shared" si="1"/>
        <v>-0.005240063523</v>
      </c>
    </row>
    <row r="229">
      <c r="M229" s="192">
        <v>44985.0</v>
      </c>
      <c r="N229" s="187">
        <v>8964.55</v>
      </c>
      <c r="O229" s="187">
        <v>8988.8</v>
      </c>
      <c r="Q229" s="188">
        <f t="shared" si="1"/>
        <v>-0.002697801709</v>
      </c>
    </row>
    <row r="230">
      <c r="M230" s="186">
        <v>44986.0</v>
      </c>
      <c r="N230" s="187">
        <v>9053.3</v>
      </c>
      <c r="O230" s="187">
        <v>8964.55</v>
      </c>
      <c r="Q230" s="188">
        <f t="shared" si="1"/>
        <v>0.009900106531</v>
      </c>
    </row>
    <row r="231">
      <c r="M231" s="186">
        <v>44987.0</v>
      </c>
      <c r="N231" s="187">
        <v>8999.9</v>
      </c>
      <c r="O231" s="187">
        <v>9053.3</v>
      </c>
      <c r="Q231" s="188">
        <f t="shared" si="1"/>
        <v>-0.005898401688</v>
      </c>
    </row>
    <row r="232">
      <c r="M232" s="186">
        <v>44988.0</v>
      </c>
      <c r="N232" s="187">
        <v>9124.95</v>
      </c>
      <c r="O232" s="187">
        <v>8999.9</v>
      </c>
      <c r="Q232" s="188">
        <f t="shared" si="1"/>
        <v>0.01389459883</v>
      </c>
    </row>
    <row r="233">
      <c r="M233" s="186">
        <v>44991.0</v>
      </c>
      <c r="N233" s="187">
        <v>9190.05</v>
      </c>
      <c r="O233" s="187">
        <v>9124.95</v>
      </c>
      <c r="Q233" s="188">
        <f t="shared" si="1"/>
        <v>0.007134285667</v>
      </c>
    </row>
    <row r="234">
      <c r="M234" s="186">
        <v>44993.0</v>
      </c>
      <c r="N234" s="187">
        <v>9217.55</v>
      </c>
      <c r="O234" s="187">
        <v>9190.05</v>
      </c>
      <c r="Q234" s="188">
        <f t="shared" si="1"/>
        <v>0.002992366744</v>
      </c>
    </row>
    <row r="235">
      <c r="M235" s="186">
        <v>44994.0</v>
      </c>
      <c r="N235" s="187">
        <v>9140.4</v>
      </c>
      <c r="O235" s="187">
        <v>9217.55</v>
      </c>
      <c r="Q235" s="188">
        <f t="shared" si="1"/>
        <v>-0.008369903065</v>
      </c>
    </row>
    <row r="236">
      <c r="M236" s="192">
        <v>44995.0</v>
      </c>
      <c r="N236" s="187">
        <v>9061.15</v>
      </c>
      <c r="O236" s="187">
        <v>9140.4</v>
      </c>
      <c r="Q236" s="188">
        <f t="shared" si="1"/>
        <v>-0.008670298893</v>
      </c>
    </row>
    <row r="237">
      <c r="M237" s="192">
        <v>44998.0</v>
      </c>
      <c r="N237" s="187">
        <v>8924.7</v>
      </c>
      <c r="O237" s="187">
        <v>9061.15</v>
      </c>
      <c r="Q237" s="188">
        <f t="shared" si="1"/>
        <v>-0.01505879497</v>
      </c>
    </row>
    <row r="238">
      <c r="M238" s="192">
        <v>44999.0</v>
      </c>
      <c r="N238" s="187">
        <v>8868.3</v>
      </c>
      <c r="O238" s="187">
        <v>8924.7</v>
      </c>
      <c r="Q238" s="188">
        <f t="shared" si="1"/>
        <v>-0.006319540153</v>
      </c>
    </row>
    <row r="239">
      <c r="M239" s="192">
        <v>45000.0</v>
      </c>
      <c r="N239" s="187">
        <v>8840.9</v>
      </c>
      <c r="O239" s="187">
        <v>8868.3</v>
      </c>
      <c r="Q239" s="188">
        <f t="shared" si="1"/>
        <v>-0.003089656417</v>
      </c>
    </row>
    <row r="240">
      <c r="M240" s="192">
        <v>45001.0</v>
      </c>
      <c r="N240" s="187">
        <v>8854.3</v>
      </c>
      <c r="O240" s="187">
        <v>8840.9</v>
      </c>
      <c r="Q240" s="188">
        <f t="shared" si="1"/>
        <v>0.001515682792</v>
      </c>
    </row>
    <row r="241">
      <c r="M241" s="192">
        <v>45002.0</v>
      </c>
      <c r="N241" s="187">
        <v>8909.3</v>
      </c>
      <c r="O241" s="187">
        <v>8854.3</v>
      </c>
      <c r="Q241" s="188">
        <f t="shared" si="1"/>
        <v>0.006211671165</v>
      </c>
    </row>
    <row r="242">
      <c r="M242" s="192">
        <v>45005.0</v>
      </c>
      <c r="N242" s="187">
        <v>8846.2</v>
      </c>
      <c r="O242" s="187">
        <v>8909.3</v>
      </c>
      <c r="Q242" s="188">
        <f t="shared" si="1"/>
        <v>-0.00708248684</v>
      </c>
    </row>
    <row r="243">
      <c r="M243" s="192">
        <v>45006.0</v>
      </c>
      <c r="N243" s="187">
        <v>8906.65</v>
      </c>
      <c r="O243" s="187">
        <v>8846.2</v>
      </c>
      <c r="Q243" s="188">
        <f t="shared" si="1"/>
        <v>0.006833442608</v>
      </c>
    </row>
    <row r="244">
      <c r="M244" s="192">
        <v>45007.0</v>
      </c>
      <c r="N244" s="187">
        <v>8935.3</v>
      </c>
      <c r="O244" s="187">
        <v>8906.65</v>
      </c>
      <c r="Q244" s="188">
        <f t="shared" si="1"/>
        <v>0.003216697636</v>
      </c>
    </row>
    <row r="245">
      <c r="M245" s="192">
        <v>45008.0</v>
      </c>
      <c r="N245" s="187">
        <v>8899.4</v>
      </c>
      <c r="O245" s="187">
        <v>8935.3</v>
      </c>
      <c r="Q245" s="188">
        <f t="shared" si="1"/>
        <v>-0.004017772207</v>
      </c>
    </row>
    <row r="246">
      <c r="M246" s="192">
        <v>45009.0</v>
      </c>
      <c r="N246" s="187">
        <v>8828.1</v>
      </c>
      <c r="O246" s="187">
        <v>8899.4</v>
      </c>
      <c r="Q246" s="188">
        <f t="shared" si="1"/>
        <v>-0.008011776075</v>
      </c>
    </row>
    <row r="247">
      <c r="M247" s="192">
        <v>45012.0</v>
      </c>
      <c r="N247" s="187">
        <v>8830.6</v>
      </c>
      <c r="O247" s="187">
        <v>8828.1</v>
      </c>
      <c r="Q247" s="188">
        <f t="shared" si="1"/>
        <v>0.0002831866427</v>
      </c>
    </row>
    <row r="248">
      <c r="M248" s="192">
        <v>45013.0</v>
      </c>
      <c r="N248" s="187">
        <v>8802.05</v>
      </c>
      <c r="O248" s="187">
        <v>8830.6</v>
      </c>
      <c r="Q248" s="188">
        <f t="shared" si="1"/>
        <v>-0.003233075895</v>
      </c>
    </row>
    <row r="249">
      <c r="M249" s="192">
        <v>45014.0</v>
      </c>
      <c r="N249" s="187">
        <v>8875.6</v>
      </c>
      <c r="O249" s="187">
        <v>8802.05</v>
      </c>
      <c r="Q249" s="188">
        <f t="shared" si="1"/>
        <v>0.008356007975</v>
      </c>
    </row>
    <row r="250">
      <c r="M250" s="192">
        <v>45016.0</v>
      </c>
      <c r="N250" s="187">
        <v>9007.9</v>
      </c>
      <c r="O250" s="187">
        <v>8875.6</v>
      </c>
      <c r="Q250" s="188">
        <f t="shared" si="1"/>
        <v>0.01490603452</v>
      </c>
    </row>
    <row r="251">
      <c r="M251" s="186">
        <v>45019.0</v>
      </c>
      <c r="N251" s="187">
        <v>9030.65</v>
      </c>
      <c r="O251" s="187">
        <v>9007.9</v>
      </c>
      <c r="Q251" s="188">
        <f t="shared" si="1"/>
        <v>0.002525560897</v>
      </c>
    </row>
    <row r="252">
      <c r="M252" s="186">
        <v>45021.0</v>
      </c>
      <c r="N252" s="187">
        <v>9098.35</v>
      </c>
      <c r="O252" s="187">
        <v>9030.65</v>
      </c>
      <c r="Q252" s="188">
        <f t="shared" si="1"/>
        <v>0.007496691822</v>
      </c>
    </row>
    <row r="253">
      <c r="M253" s="186">
        <v>45022.0</v>
      </c>
      <c r="N253" s="187">
        <v>9124.5</v>
      </c>
      <c r="O253" s="187">
        <v>9098.35</v>
      </c>
      <c r="Q253" s="188">
        <f t="shared" si="1"/>
        <v>0.00287414751</v>
      </c>
    </row>
    <row r="254">
      <c r="M254" s="192">
        <v>45026.0</v>
      </c>
      <c r="N254" s="187">
        <v>9143.45</v>
      </c>
      <c r="O254" s="187">
        <v>9124.5</v>
      </c>
      <c r="Q254" s="188">
        <f t="shared" si="1"/>
        <v>0.002076826127</v>
      </c>
    </row>
    <row r="255">
      <c r="M255" s="192">
        <v>45027.0</v>
      </c>
      <c r="N255" s="187">
        <v>9192.55</v>
      </c>
      <c r="O255" s="187">
        <v>9143.45</v>
      </c>
      <c r="Q255" s="188">
        <f t="shared" si="1"/>
        <v>0.005369964291</v>
      </c>
    </row>
    <row r="256">
      <c r="M256" s="192">
        <v>45028.0</v>
      </c>
      <c r="N256" s="187">
        <v>9239.65</v>
      </c>
      <c r="O256" s="187">
        <v>9192.55</v>
      </c>
      <c r="Q256" s="188">
        <f t="shared" si="1"/>
        <v>0.005123714312</v>
      </c>
    </row>
    <row r="257">
      <c r="M257" s="192">
        <v>45029.0</v>
      </c>
      <c r="N257" s="187">
        <v>9245.8</v>
      </c>
      <c r="O257" s="187">
        <v>9239.65</v>
      </c>
      <c r="Q257" s="188">
        <f t="shared" si="1"/>
        <v>0.0006656096281</v>
      </c>
    </row>
    <row r="258">
      <c r="M258" s="192">
        <v>45033.0</v>
      </c>
      <c r="N258" s="187">
        <v>9208.85</v>
      </c>
      <c r="O258" s="187">
        <v>9245.8</v>
      </c>
      <c r="Q258" s="188">
        <f t="shared" si="1"/>
        <v>-0.00399640918</v>
      </c>
    </row>
    <row r="259">
      <c r="M259" s="192">
        <v>45034.0</v>
      </c>
      <c r="N259" s="187">
        <v>9203.2</v>
      </c>
      <c r="O259" s="187">
        <v>9208.85</v>
      </c>
      <c r="Q259" s="188">
        <f t="shared" si="1"/>
        <v>-0.0006135402358</v>
      </c>
    </row>
    <row r="260">
      <c r="M260" s="192">
        <v>45035.0</v>
      </c>
      <c r="N260" s="187">
        <v>9176.85</v>
      </c>
      <c r="O260" s="187">
        <v>9203.2</v>
      </c>
      <c r="Q260" s="188">
        <f t="shared" si="1"/>
        <v>-0.002863134562</v>
      </c>
    </row>
    <row r="261">
      <c r="M261" s="192">
        <v>45036.0</v>
      </c>
      <c r="N261" s="187">
        <v>9179.2</v>
      </c>
      <c r="O261" s="187">
        <v>9176.85</v>
      </c>
      <c r="Q261" s="188">
        <f t="shared" si="1"/>
        <v>0.0002560791557</v>
      </c>
    </row>
    <row r="262">
      <c r="M262" s="192">
        <v>45037.0</v>
      </c>
      <c r="N262" s="187">
        <v>9171.85</v>
      </c>
      <c r="O262" s="187">
        <v>9179.2</v>
      </c>
      <c r="Q262" s="188">
        <f t="shared" si="1"/>
        <v>-0.0008007233746</v>
      </c>
    </row>
    <row r="263">
      <c r="M263" s="192">
        <v>45040.0</v>
      </c>
      <c r="N263" s="187">
        <v>9226.4</v>
      </c>
      <c r="O263" s="187">
        <v>9171.85</v>
      </c>
      <c r="Q263" s="188">
        <f t="shared" si="1"/>
        <v>0.005947546024</v>
      </c>
    </row>
    <row r="264">
      <c r="M264" s="192">
        <v>45041.0</v>
      </c>
      <c r="N264" s="187">
        <v>9241.45</v>
      </c>
      <c r="O264" s="187">
        <v>9226.4</v>
      </c>
      <c r="Q264" s="188">
        <f t="shared" si="1"/>
        <v>0.001631188763</v>
      </c>
    </row>
    <row r="265">
      <c r="M265" s="192">
        <v>45042.0</v>
      </c>
      <c r="N265" s="187">
        <v>9264.1</v>
      </c>
      <c r="O265" s="187">
        <v>9241.45</v>
      </c>
      <c r="Q265" s="188">
        <f t="shared" si="1"/>
        <v>0.002450914088</v>
      </c>
    </row>
    <row r="266">
      <c r="M266" s="192">
        <v>45043.0</v>
      </c>
      <c r="N266" s="187">
        <v>9313.95</v>
      </c>
      <c r="O266" s="187">
        <v>9264.1</v>
      </c>
      <c r="Q266" s="188">
        <f t="shared" si="1"/>
        <v>0.00538098682</v>
      </c>
    </row>
    <row r="267">
      <c r="M267" s="192">
        <v>45044.0</v>
      </c>
      <c r="N267" s="187">
        <v>9404.0</v>
      </c>
      <c r="O267" s="187">
        <v>9313.95</v>
      </c>
      <c r="Q267" s="188">
        <f t="shared" si="1"/>
        <v>0.009668293259</v>
      </c>
    </row>
    <row r="268">
      <c r="M268" s="197">
        <v>45048.0</v>
      </c>
      <c r="N268" s="187">
        <v>9455.0</v>
      </c>
      <c r="O268" s="187">
        <v>9404.0</v>
      </c>
      <c r="Q268" s="188">
        <f t="shared" si="1"/>
        <v>0.00542322416</v>
      </c>
    </row>
    <row r="269">
      <c r="M269" s="197">
        <v>45049.0</v>
      </c>
      <c r="N269" s="187">
        <v>9436.35</v>
      </c>
      <c r="O269" s="187">
        <v>9455.0</v>
      </c>
      <c r="Q269" s="188">
        <f t="shared" si="1"/>
        <v>-0.001972501322</v>
      </c>
    </row>
    <row r="270">
      <c r="M270" s="197">
        <v>45050.0</v>
      </c>
      <c r="N270" s="187">
        <v>9516.0</v>
      </c>
      <c r="O270" s="187">
        <v>9436.35</v>
      </c>
      <c r="Q270" s="188">
        <f t="shared" si="1"/>
        <v>0.008440763643</v>
      </c>
    </row>
    <row r="271">
      <c r="M271" s="197">
        <v>45051.0</v>
      </c>
      <c r="N271" s="187">
        <v>9434.05</v>
      </c>
      <c r="O271" s="187">
        <v>9516.0</v>
      </c>
      <c r="Q271" s="188">
        <f t="shared" si="1"/>
        <v>-0.008611811686</v>
      </c>
    </row>
    <row r="272">
      <c r="M272" s="197">
        <v>45054.0</v>
      </c>
      <c r="N272" s="187">
        <v>9528.55</v>
      </c>
      <c r="O272" s="187">
        <v>9434.05</v>
      </c>
      <c r="Q272" s="188">
        <f t="shared" si="1"/>
        <v>0.01001690684</v>
      </c>
    </row>
    <row r="273">
      <c r="M273" s="197">
        <v>45055.0</v>
      </c>
      <c r="N273" s="187">
        <v>9527.0</v>
      </c>
      <c r="O273" s="187">
        <v>9528.55</v>
      </c>
      <c r="Q273" s="188">
        <f t="shared" si="1"/>
        <v>-0.0001626690315</v>
      </c>
    </row>
    <row r="274">
      <c r="M274" s="203">
        <v>45056.0</v>
      </c>
      <c r="N274" s="187">
        <v>9553.55</v>
      </c>
      <c r="O274" s="187">
        <v>9527.0</v>
      </c>
      <c r="Q274" s="188">
        <f t="shared" si="1"/>
        <v>0.002786816417</v>
      </c>
    </row>
    <row r="275">
      <c r="M275" s="203">
        <v>45057.0</v>
      </c>
      <c r="N275" s="187">
        <v>9558.85</v>
      </c>
      <c r="O275" s="187">
        <v>9553.55</v>
      </c>
      <c r="Q275" s="188">
        <f t="shared" si="1"/>
        <v>0.0005547675995</v>
      </c>
    </row>
    <row r="276">
      <c r="M276" s="203">
        <v>45058.0</v>
      </c>
      <c r="N276" s="187">
        <v>9557.15</v>
      </c>
      <c r="O276" s="187">
        <v>9558.85</v>
      </c>
      <c r="Q276" s="188">
        <f t="shared" si="1"/>
        <v>-0.0001778456614</v>
      </c>
    </row>
    <row r="277">
      <c r="M277" s="203">
        <v>45061.0</v>
      </c>
      <c r="N277" s="187">
        <v>9601.3</v>
      </c>
      <c r="O277" s="187">
        <v>9557.15</v>
      </c>
      <c r="Q277" s="188">
        <f t="shared" si="1"/>
        <v>0.004619578012</v>
      </c>
    </row>
    <row r="278">
      <c r="M278" s="203">
        <v>45062.0</v>
      </c>
      <c r="N278" s="187">
        <v>9560.95</v>
      </c>
      <c r="O278" s="187">
        <v>9601.3</v>
      </c>
      <c r="Q278" s="188">
        <f t="shared" si="1"/>
        <v>-0.004202555904</v>
      </c>
    </row>
    <row r="279">
      <c r="M279" s="203">
        <v>45063.0</v>
      </c>
      <c r="N279" s="187">
        <v>9511.7</v>
      </c>
      <c r="O279" s="187">
        <v>9560.95</v>
      </c>
      <c r="Q279" s="188">
        <f t="shared" si="1"/>
        <v>-0.005151161757</v>
      </c>
    </row>
    <row r="280">
      <c r="M280" s="203">
        <v>45064.0</v>
      </c>
      <c r="N280" s="187">
        <v>9471.85</v>
      </c>
      <c r="O280" s="187">
        <v>9511.7</v>
      </c>
      <c r="Q280" s="188">
        <f t="shared" si="1"/>
        <v>-0.004189577047</v>
      </c>
    </row>
    <row r="281">
      <c r="M281" s="203">
        <v>45065.0</v>
      </c>
      <c r="N281" s="187">
        <v>9505.0</v>
      </c>
      <c r="O281" s="187">
        <v>9471.85</v>
      </c>
      <c r="Q281" s="188">
        <f t="shared" si="1"/>
        <v>0.003499844275</v>
      </c>
    </row>
    <row r="282">
      <c r="M282" s="203">
        <v>45068.0</v>
      </c>
      <c r="N282" s="187">
        <v>9568.0</v>
      </c>
      <c r="O282" s="187">
        <v>9505.0</v>
      </c>
      <c r="Q282" s="188">
        <f t="shared" si="1"/>
        <v>0.006628090479</v>
      </c>
    </row>
    <row r="283">
      <c r="M283" s="203">
        <v>45069.0</v>
      </c>
      <c r="N283" s="187">
        <v>9593.8</v>
      </c>
      <c r="O283" s="187">
        <v>9568.0</v>
      </c>
      <c r="Q283" s="188">
        <f t="shared" si="1"/>
        <v>0.002696488294</v>
      </c>
    </row>
    <row r="284">
      <c r="M284" s="203">
        <v>45070.0</v>
      </c>
      <c r="N284" s="187">
        <v>9573.9</v>
      </c>
      <c r="O284" s="187">
        <v>9593.8</v>
      </c>
      <c r="Q284" s="188">
        <f t="shared" si="1"/>
        <v>-0.002074256291</v>
      </c>
    </row>
    <row r="285">
      <c r="M285" s="203">
        <v>45071.0</v>
      </c>
      <c r="N285" s="187">
        <v>9598.7</v>
      </c>
      <c r="O285" s="187">
        <v>9573.9</v>
      </c>
      <c r="Q285" s="188">
        <f t="shared" si="1"/>
        <v>0.002590375918</v>
      </c>
    </row>
    <row r="286">
      <c r="M286" s="203">
        <v>45072.0</v>
      </c>
      <c r="N286" s="187">
        <v>9690.95</v>
      </c>
      <c r="O286" s="187">
        <v>9598.7</v>
      </c>
      <c r="Q286" s="188">
        <f t="shared" si="1"/>
        <v>0.009610676446</v>
      </c>
    </row>
    <row r="287">
      <c r="M287" s="203">
        <v>45075.0</v>
      </c>
      <c r="N287" s="187">
        <v>9740.15</v>
      </c>
      <c r="O287" s="187">
        <v>9690.95</v>
      </c>
      <c r="Q287" s="188">
        <f t="shared" si="1"/>
        <v>0.005076901645</v>
      </c>
    </row>
    <row r="288">
      <c r="M288" s="203">
        <v>45076.0</v>
      </c>
      <c r="N288" s="187">
        <v>9755.65</v>
      </c>
      <c r="O288" s="187">
        <v>9740.15</v>
      </c>
      <c r="Q288" s="188">
        <f t="shared" si="1"/>
        <v>0.001591351263</v>
      </c>
    </row>
    <row r="289">
      <c r="M289" s="203">
        <v>45077.0</v>
      </c>
      <c r="N289" s="187">
        <v>9724.8</v>
      </c>
      <c r="O289" s="187">
        <v>9755.65</v>
      </c>
      <c r="Q289" s="188">
        <f t="shared" si="1"/>
        <v>-0.003162270069</v>
      </c>
    </row>
    <row r="290">
      <c r="M290" s="186">
        <v>45078.0</v>
      </c>
      <c r="N290" s="187">
        <v>9711.95</v>
      </c>
      <c r="O290" s="187">
        <v>9724.8</v>
      </c>
      <c r="Q290" s="188">
        <f t="shared" si="1"/>
        <v>-0.001321363936</v>
      </c>
    </row>
    <row r="291">
      <c r="M291" s="186">
        <v>45079.0</v>
      </c>
      <c r="N291" s="187">
        <v>9741.4</v>
      </c>
      <c r="O291" s="187">
        <v>9711.95</v>
      </c>
      <c r="Q291" s="188">
        <f t="shared" si="1"/>
        <v>0.003032346748</v>
      </c>
    </row>
    <row r="292">
      <c r="M292" s="186">
        <v>45082.0</v>
      </c>
      <c r="N292" s="187">
        <v>9769.2</v>
      </c>
      <c r="O292" s="187">
        <v>9741.4</v>
      </c>
      <c r="Q292" s="188">
        <f t="shared" si="1"/>
        <v>0.002853799249</v>
      </c>
    </row>
    <row r="293">
      <c r="M293" s="186">
        <v>45083.0</v>
      </c>
      <c r="N293" s="187">
        <v>9776.4</v>
      </c>
      <c r="O293" s="187">
        <v>9769.2</v>
      </c>
      <c r="Q293" s="188">
        <f t="shared" si="1"/>
        <v>0.0007370101953</v>
      </c>
    </row>
    <row r="294">
      <c r="M294" s="186">
        <v>45084.0</v>
      </c>
      <c r="N294" s="187">
        <v>9850.35</v>
      </c>
      <c r="O294" s="187">
        <v>9776.4</v>
      </c>
      <c r="Q294" s="188">
        <f t="shared" si="1"/>
        <v>0.007564134037</v>
      </c>
    </row>
    <row r="295">
      <c r="M295" s="186">
        <v>45085.0</v>
      </c>
      <c r="N295" s="187">
        <v>9798.85</v>
      </c>
      <c r="O295" s="187">
        <v>9850.35</v>
      </c>
      <c r="Q295" s="188">
        <f t="shared" si="1"/>
        <v>-0.005228240621</v>
      </c>
    </row>
    <row r="296">
      <c r="M296" s="186">
        <v>45086.0</v>
      </c>
      <c r="N296" s="187">
        <v>9769.3</v>
      </c>
      <c r="O296" s="187">
        <v>9798.85</v>
      </c>
      <c r="Q296" s="188">
        <f t="shared" si="1"/>
        <v>-0.003015660001</v>
      </c>
    </row>
    <row r="297">
      <c r="M297" s="192">
        <v>45089.0</v>
      </c>
      <c r="N297" s="187">
        <v>9796.65</v>
      </c>
      <c r="O297" s="187">
        <v>9769.3</v>
      </c>
      <c r="Q297" s="188">
        <f t="shared" si="1"/>
        <v>0.00279958646</v>
      </c>
    </row>
    <row r="298">
      <c r="M298" s="192">
        <v>45090.0</v>
      </c>
      <c r="N298" s="187">
        <v>9868.8</v>
      </c>
      <c r="O298" s="187">
        <v>9796.65</v>
      </c>
      <c r="Q298" s="188">
        <f t="shared" si="1"/>
        <v>0.007364762444</v>
      </c>
    </row>
    <row r="299">
      <c r="M299" s="192">
        <v>45091.0</v>
      </c>
      <c r="N299" s="187">
        <v>9888.6</v>
      </c>
      <c r="O299" s="187">
        <v>9868.8</v>
      </c>
      <c r="Q299" s="188">
        <f t="shared" si="1"/>
        <v>0.002006322957</v>
      </c>
    </row>
    <row r="300">
      <c r="M300" s="192">
        <v>45092.0</v>
      </c>
      <c r="N300" s="187">
        <v>9868.0</v>
      </c>
      <c r="O300" s="187">
        <v>9888.6</v>
      </c>
      <c r="Q300" s="188">
        <f t="shared" si="1"/>
        <v>-0.002083206925</v>
      </c>
    </row>
    <row r="301">
      <c r="M301" s="192">
        <v>45093.0</v>
      </c>
      <c r="N301" s="187">
        <v>9943.35</v>
      </c>
      <c r="O301" s="187">
        <v>9868.0</v>
      </c>
      <c r="Q301" s="188">
        <f t="shared" si="1"/>
        <v>0.00763579246</v>
      </c>
    </row>
    <row r="302">
      <c r="M302" s="192">
        <v>45096.0</v>
      </c>
      <c r="N302" s="187">
        <v>9913.9</v>
      </c>
      <c r="O302" s="187">
        <v>9943.35</v>
      </c>
      <c r="Q302" s="188">
        <f t="shared" si="1"/>
        <v>-0.002961778475</v>
      </c>
    </row>
    <row r="303">
      <c r="M303" s="192">
        <v>45097.0</v>
      </c>
      <c r="N303" s="187">
        <v>9948.8</v>
      </c>
      <c r="O303" s="187">
        <v>9913.9</v>
      </c>
      <c r="Q303" s="188">
        <f t="shared" si="1"/>
        <v>0.003520309868</v>
      </c>
    </row>
    <row r="304">
      <c r="M304" s="192">
        <v>45098.0</v>
      </c>
      <c r="N304" s="187">
        <v>9975.15</v>
      </c>
      <c r="O304" s="187">
        <v>9948.8</v>
      </c>
      <c r="Q304" s="188">
        <f t="shared" si="1"/>
        <v>0.00264856063</v>
      </c>
    </row>
    <row r="305">
      <c r="M305" s="192">
        <v>45099.0</v>
      </c>
      <c r="N305" s="187">
        <v>9912.4</v>
      </c>
      <c r="O305" s="187">
        <v>9975.15</v>
      </c>
      <c r="Q305" s="188">
        <f t="shared" si="1"/>
        <v>-0.006290632221</v>
      </c>
    </row>
    <row r="306">
      <c r="M306" s="192">
        <v>45100.0</v>
      </c>
      <c r="N306" s="187">
        <v>9837.45</v>
      </c>
      <c r="O306" s="187">
        <v>9912.4</v>
      </c>
      <c r="Q306" s="188">
        <f t="shared" si="1"/>
        <v>-0.007561236431</v>
      </c>
    </row>
    <row r="307">
      <c r="M307" s="192">
        <v>45103.0</v>
      </c>
      <c r="N307" s="187">
        <v>9866.9</v>
      </c>
      <c r="O307" s="187">
        <v>9837.45</v>
      </c>
      <c r="Q307" s="188">
        <f t="shared" si="1"/>
        <v>0.002993661975</v>
      </c>
    </row>
    <row r="308">
      <c r="M308" s="192">
        <v>45104.0</v>
      </c>
      <c r="N308" s="187">
        <v>9927.8</v>
      </c>
      <c r="O308" s="187">
        <v>9866.9</v>
      </c>
      <c r="Q308" s="188">
        <f t="shared" si="1"/>
        <v>0.006172151334</v>
      </c>
    </row>
    <row r="309">
      <c r="M309" s="192">
        <v>45105.0</v>
      </c>
      <c r="N309" s="187">
        <v>10004.9</v>
      </c>
      <c r="O309" s="187">
        <v>9927.8</v>
      </c>
      <c r="Q309" s="188">
        <f t="shared" si="1"/>
        <v>0.007766071033</v>
      </c>
    </row>
    <row r="310">
      <c r="M310" s="192">
        <v>45107.0</v>
      </c>
      <c r="N310" s="187">
        <v>10104.35</v>
      </c>
      <c r="O310" s="187">
        <v>10004.9</v>
      </c>
      <c r="Q310" s="188">
        <f t="shared" si="1"/>
        <v>0.009940129337</v>
      </c>
    </row>
    <row r="311">
      <c r="M311" s="186">
        <v>45110.0</v>
      </c>
      <c r="N311" s="187">
        <v>10164.4</v>
      </c>
      <c r="O311" s="187">
        <v>10104.35</v>
      </c>
      <c r="Q311" s="188">
        <f t="shared" si="1"/>
        <v>0.005942984952</v>
      </c>
    </row>
    <row r="312">
      <c r="M312" s="186">
        <v>45111.0</v>
      </c>
      <c r="N312" s="187">
        <v>10182.8</v>
      </c>
      <c r="O312" s="187">
        <v>10164.4</v>
      </c>
      <c r="Q312" s="188">
        <f t="shared" si="1"/>
        <v>0.00181023966</v>
      </c>
    </row>
    <row r="313">
      <c r="M313" s="186">
        <v>45112.0</v>
      </c>
      <c r="N313" s="187">
        <v>10205.3</v>
      </c>
      <c r="O313" s="187">
        <v>10182.8</v>
      </c>
      <c r="Q313" s="188">
        <f t="shared" si="1"/>
        <v>0.002209608359</v>
      </c>
    </row>
    <row r="314">
      <c r="M314" s="186">
        <v>45113.0</v>
      </c>
      <c r="N314" s="187">
        <v>10264.2</v>
      </c>
      <c r="O314" s="187">
        <v>10205.3</v>
      </c>
      <c r="Q314" s="188">
        <f t="shared" si="1"/>
        <v>0.005771510882</v>
      </c>
    </row>
    <row r="315">
      <c r="M315" s="186">
        <v>45114.0</v>
      </c>
      <c r="N315" s="187">
        <v>10178.1</v>
      </c>
      <c r="O315" s="187">
        <v>10264.2</v>
      </c>
      <c r="Q315" s="188">
        <f t="shared" si="1"/>
        <v>-0.008388379026</v>
      </c>
    </row>
    <row r="316">
      <c r="M316" s="192">
        <v>45117.0</v>
      </c>
      <c r="N316" s="187">
        <v>10175.4</v>
      </c>
      <c r="O316" s="187">
        <v>10178.1</v>
      </c>
      <c r="Q316" s="188">
        <f t="shared" si="1"/>
        <v>-0.0002652754443</v>
      </c>
    </row>
    <row r="317">
      <c r="M317" s="192">
        <v>45118.0</v>
      </c>
      <c r="N317" s="187">
        <v>10230.55</v>
      </c>
      <c r="O317" s="187">
        <v>10175.4</v>
      </c>
      <c r="Q317" s="188">
        <f t="shared" si="1"/>
        <v>0.005419934351</v>
      </c>
    </row>
    <row r="318">
      <c r="M318" s="192">
        <v>45119.0</v>
      </c>
      <c r="N318" s="187">
        <v>10218.6</v>
      </c>
      <c r="O318" s="187">
        <v>10230.55</v>
      </c>
      <c r="Q318" s="188">
        <f t="shared" si="1"/>
        <v>-0.001168070143</v>
      </c>
    </row>
    <row r="319">
      <c r="M319" s="192">
        <v>45120.0</v>
      </c>
      <c r="N319" s="187">
        <v>10212.1</v>
      </c>
      <c r="O319" s="187">
        <v>10218.6</v>
      </c>
      <c r="Q319" s="188">
        <f t="shared" si="1"/>
        <v>-0.0006360949641</v>
      </c>
    </row>
    <row r="320">
      <c r="M320" s="192">
        <v>45121.0</v>
      </c>
      <c r="N320" s="187">
        <v>10296.35</v>
      </c>
      <c r="O320" s="187">
        <v>10212.1</v>
      </c>
      <c r="Q320" s="188">
        <f t="shared" si="1"/>
        <v>0.008250017137</v>
      </c>
    </row>
    <row r="321">
      <c r="M321" s="192">
        <v>45124.0</v>
      </c>
      <c r="N321" s="187">
        <v>10360.3</v>
      </c>
      <c r="O321" s="187">
        <v>10296.35</v>
      </c>
      <c r="Q321" s="188">
        <f t="shared" si="1"/>
        <v>0.006210938828</v>
      </c>
    </row>
    <row r="322">
      <c r="M322" s="192">
        <v>45125.0</v>
      </c>
      <c r="N322" s="187">
        <v>10367.95</v>
      </c>
      <c r="O322" s="187">
        <v>10360.3</v>
      </c>
      <c r="Q322" s="188">
        <f t="shared" si="1"/>
        <v>0.0007383956063</v>
      </c>
    </row>
    <row r="323">
      <c r="M323" s="192">
        <v>45126.0</v>
      </c>
      <c r="N323" s="187">
        <v>10416.35</v>
      </c>
      <c r="O323" s="187">
        <v>10367.95</v>
      </c>
      <c r="Q323" s="188">
        <f t="shared" si="1"/>
        <v>0.004668232389</v>
      </c>
    </row>
    <row r="324">
      <c r="M324" s="192">
        <v>45127.0</v>
      </c>
      <c r="N324" s="187">
        <v>10475.15</v>
      </c>
      <c r="O324" s="187">
        <v>10416.35</v>
      </c>
      <c r="Q324" s="188">
        <f t="shared" si="1"/>
        <v>0.005644971607</v>
      </c>
    </row>
    <row r="325">
      <c r="M325" s="192">
        <v>45128.0</v>
      </c>
      <c r="N325" s="187">
        <v>10374.65</v>
      </c>
      <c r="O325" s="187">
        <v>10475.15</v>
      </c>
      <c r="Q325" s="188">
        <f t="shared" si="1"/>
        <v>-0.00959413469</v>
      </c>
    </row>
    <row r="326">
      <c r="M326" s="192">
        <v>45131.0</v>
      </c>
      <c r="N326" s="187">
        <v>10344.1</v>
      </c>
      <c r="O326" s="187">
        <v>10374.65</v>
      </c>
      <c r="Q326" s="188">
        <f t="shared" si="1"/>
        <v>-0.002944677652</v>
      </c>
    </row>
    <row r="327">
      <c r="M327" s="192">
        <v>45132.0</v>
      </c>
      <c r="N327" s="187">
        <v>10361.9</v>
      </c>
      <c r="O327" s="187">
        <v>10344.1</v>
      </c>
      <c r="Q327" s="188">
        <f t="shared" si="1"/>
        <v>0.001720787695</v>
      </c>
    </row>
    <row r="328">
      <c r="M328" s="192">
        <v>45133.0</v>
      </c>
      <c r="N328" s="187">
        <v>10411.55</v>
      </c>
      <c r="O328" s="187">
        <v>10361.9</v>
      </c>
      <c r="Q328" s="188">
        <f t="shared" si="1"/>
        <v>0.004791592276</v>
      </c>
    </row>
    <row r="329">
      <c r="M329" s="192">
        <v>45134.0</v>
      </c>
      <c r="N329" s="187">
        <v>10372.15</v>
      </c>
      <c r="O329" s="187">
        <v>10411.55</v>
      </c>
      <c r="Q329" s="188">
        <f t="shared" si="1"/>
        <v>-0.003784258828</v>
      </c>
    </row>
    <row r="330">
      <c r="M330" s="192">
        <v>45135.0</v>
      </c>
      <c r="N330" s="187">
        <v>10386.6</v>
      </c>
      <c r="O330" s="187">
        <v>10372.15</v>
      </c>
      <c r="Q330" s="188">
        <f t="shared" si="1"/>
        <v>0.001393153782</v>
      </c>
    </row>
    <row r="331">
      <c r="M331" s="192">
        <v>45138.0</v>
      </c>
      <c r="N331" s="187">
        <v>10445.9</v>
      </c>
      <c r="O331" s="187">
        <v>10386.6</v>
      </c>
      <c r="Q331" s="188">
        <f t="shared" si="1"/>
        <v>0.005709279264</v>
      </c>
    </row>
    <row r="332">
      <c r="M332" s="186">
        <v>45139.0</v>
      </c>
      <c r="N332" s="187">
        <v>10437.5</v>
      </c>
      <c r="O332" s="187">
        <v>10445.9</v>
      </c>
      <c r="Q332" s="188">
        <f t="shared" si="1"/>
        <v>-0.0008041432524</v>
      </c>
    </row>
    <row r="333">
      <c r="M333" s="186">
        <v>45140.0</v>
      </c>
      <c r="N333" s="187">
        <v>10320.9</v>
      </c>
      <c r="O333" s="187">
        <v>10437.5</v>
      </c>
      <c r="Q333" s="188">
        <f t="shared" si="1"/>
        <v>-0.01117125749</v>
      </c>
    </row>
    <row r="334">
      <c r="M334" s="186">
        <v>45141.0</v>
      </c>
      <c r="N334" s="187">
        <v>10262.6</v>
      </c>
      <c r="O334" s="187">
        <v>10320.9</v>
      </c>
      <c r="Q334" s="188">
        <f t="shared" si="1"/>
        <v>-0.005648732184</v>
      </c>
    </row>
    <row r="335">
      <c r="M335" s="186">
        <v>45142.0</v>
      </c>
      <c r="N335" s="187">
        <v>10337.35</v>
      </c>
      <c r="O335" s="187">
        <v>10262.6</v>
      </c>
      <c r="Q335" s="188">
        <f t="shared" si="1"/>
        <v>0.007283729269</v>
      </c>
    </row>
    <row r="336">
      <c r="M336" s="186">
        <v>45145.0</v>
      </c>
      <c r="N336" s="187">
        <v>10378.25</v>
      </c>
      <c r="O336" s="187">
        <v>10337.35</v>
      </c>
      <c r="Q336" s="188">
        <f t="shared" si="1"/>
        <v>0.003956526576</v>
      </c>
    </row>
    <row r="337">
      <c r="M337" s="186">
        <v>45146.0</v>
      </c>
      <c r="N337" s="187">
        <v>10370.6</v>
      </c>
      <c r="O337" s="187">
        <v>10378.25</v>
      </c>
      <c r="Q337" s="188">
        <f t="shared" si="1"/>
        <v>-0.000737118493</v>
      </c>
    </row>
    <row r="338">
      <c r="M338" s="186">
        <v>45147.0</v>
      </c>
      <c r="N338" s="187">
        <v>10401.6</v>
      </c>
      <c r="O338" s="187">
        <v>10370.6</v>
      </c>
      <c r="Q338" s="188">
        <f t="shared" si="1"/>
        <v>0.002989219524</v>
      </c>
    </row>
    <row r="339">
      <c r="M339" s="192">
        <v>45148.0</v>
      </c>
      <c r="N339" s="187">
        <v>10358.75</v>
      </c>
      <c r="O339" s="187">
        <v>10401.6</v>
      </c>
      <c r="Q339" s="188">
        <f t="shared" si="1"/>
        <v>-0.004119558529</v>
      </c>
    </row>
    <row r="340">
      <c r="M340" s="192">
        <v>45149.0</v>
      </c>
      <c r="N340" s="187">
        <v>10304.6</v>
      </c>
      <c r="O340" s="187">
        <v>10358.75</v>
      </c>
      <c r="Q340" s="188">
        <f t="shared" si="1"/>
        <v>-0.005227464704</v>
      </c>
    </row>
    <row r="341">
      <c r="M341" s="192">
        <v>45152.0</v>
      </c>
      <c r="N341" s="187">
        <v>10289.15</v>
      </c>
      <c r="O341" s="187">
        <v>10304.6</v>
      </c>
      <c r="Q341" s="188">
        <f t="shared" si="1"/>
        <v>-0.001499330396</v>
      </c>
    </row>
    <row r="342">
      <c r="M342" s="192">
        <v>45154.0</v>
      </c>
      <c r="N342" s="187">
        <v>10302.8</v>
      </c>
      <c r="O342" s="187">
        <v>10289.15</v>
      </c>
      <c r="Q342" s="188">
        <f t="shared" si="1"/>
        <v>0.001326640199</v>
      </c>
    </row>
    <row r="343">
      <c r="M343" s="192">
        <v>45155.0</v>
      </c>
      <c r="N343" s="187">
        <v>10263.95</v>
      </c>
      <c r="O343" s="187">
        <v>10302.8</v>
      </c>
      <c r="Q343" s="188">
        <f t="shared" si="1"/>
        <v>-0.003770819583</v>
      </c>
    </row>
    <row r="344">
      <c r="M344" s="192">
        <v>45156.0</v>
      </c>
      <c r="N344" s="187">
        <v>10235.65</v>
      </c>
      <c r="O344" s="187">
        <v>10263.95</v>
      </c>
      <c r="Q344" s="188">
        <f t="shared" si="1"/>
        <v>-0.002757223096</v>
      </c>
    </row>
    <row r="345">
      <c r="M345" s="192">
        <v>45159.0</v>
      </c>
      <c r="N345" s="187">
        <v>10290.75</v>
      </c>
      <c r="O345" s="187">
        <v>10235.65</v>
      </c>
      <c r="Q345" s="188">
        <f t="shared" si="1"/>
        <v>0.005383146161</v>
      </c>
    </row>
    <row r="346">
      <c r="M346" s="192">
        <v>45160.0</v>
      </c>
      <c r="N346" s="187">
        <v>10317.25</v>
      </c>
      <c r="O346" s="187">
        <v>10290.75</v>
      </c>
      <c r="Q346" s="188">
        <f t="shared" si="1"/>
        <v>0.002575128149</v>
      </c>
    </row>
    <row r="347">
      <c r="M347" s="192">
        <v>45161.0</v>
      </c>
      <c r="N347" s="187">
        <v>10340.05</v>
      </c>
      <c r="O347" s="187">
        <v>10317.25</v>
      </c>
      <c r="Q347" s="188">
        <f t="shared" si="1"/>
        <v>0.002209891202</v>
      </c>
    </row>
    <row r="348">
      <c r="M348" s="192">
        <v>45162.0</v>
      </c>
      <c r="N348" s="187">
        <v>10325.9</v>
      </c>
      <c r="O348" s="187">
        <v>10340.05</v>
      </c>
      <c r="Q348" s="188">
        <f t="shared" si="1"/>
        <v>-0.001368465336</v>
      </c>
    </row>
    <row r="349">
      <c r="M349" s="192">
        <v>45163.0</v>
      </c>
      <c r="N349" s="187">
        <v>10254.45</v>
      </c>
      <c r="O349" s="187">
        <v>10325.9</v>
      </c>
      <c r="Q349" s="188">
        <f t="shared" si="1"/>
        <v>-0.0069194937</v>
      </c>
    </row>
    <row r="350">
      <c r="M350" s="192">
        <v>45166.0</v>
      </c>
      <c r="N350" s="187">
        <v>10284.65</v>
      </c>
      <c r="O350" s="187">
        <v>10254.45</v>
      </c>
      <c r="Q350" s="188">
        <f t="shared" si="1"/>
        <v>0.002945062875</v>
      </c>
    </row>
    <row r="351">
      <c r="M351" s="192">
        <v>45167.0</v>
      </c>
      <c r="N351" s="187">
        <v>10311.55</v>
      </c>
      <c r="O351" s="187">
        <v>10284.65</v>
      </c>
      <c r="Q351" s="188">
        <f t="shared" si="1"/>
        <v>0.002615548414</v>
      </c>
    </row>
    <row r="352">
      <c r="M352" s="192">
        <v>45168.0</v>
      </c>
      <c r="N352" s="187">
        <v>10330.05</v>
      </c>
      <c r="O352" s="187">
        <v>10311.55</v>
      </c>
      <c r="Q352" s="188">
        <f t="shared" si="1"/>
        <v>0.001794104669</v>
      </c>
    </row>
    <row r="353">
      <c r="M353" s="192">
        <v>45169.0</v>
      </c>
      <c r="N353" s="187">
        <v>10284.95</v>
      </c>
      <c r="O353" s="187">
        <v>10330.05</v>
      </c>
      <c r="Q353" s="188">
        <f t="shared" si="1"/>
        <v>-0.00436590336</v>
      </c>
    </row>
    <row r="354">
      <c r="M354" s="184" t="s">
        <v>234</v>
      </c>
      <c r="N354" s="187">
        <v>10378.95</v>
      </c>
      <c r="O354" s="187">
        <v>10284.95</v>
      </c>
      <c r="Q354" s="188">
        <f t="shared" si="1"/>
        <v>0.00913956801</v>
      </c>
    </row>
    <row r="355">
      <c r="M355" s="184" t="s">
        <v>235</v>
      </c>
      <c r="N355" s="187">
        <v>10440.75</v>
      </c>
      <c r="O355" s="187">
        <v>10378.95</v>
      </c>
      <c r="Q355" s="188">
        <f t="shared" si="1"/>
        <v>0.005954359545</v>
      </c>
    </row>
    <row r="356">
      <c r="M356" s="184" t="s">
        <v>236</v>
      </c>
      <c r="N356" s="187">
        <v>10478.2</v>
      </c>
      <c r="O356" s="187">
        <v>10440.75</v>
      </c>
      <c r="Q356" s="188">
        <f t="shared" si="1"/>
        <v>0.003586907071</v>
      </c>
    </row>
    <row r="357">
      <c r="M357" s="184" t="s">
        <v>237</v>
      </c>
      <c r="N357" s="187">
        <v>10500.85</v>
      </c>
      <c r="O357" s="187">
        <v>10478.2</v>
      </c>
      <c r="Q357" s="188">
        <f t="shared" si="1"/>
        <v>0.002161630814</v>
      </c>
    </row>
    <row r="358">
      <c r="M358" s="184" t="s">
        <v>238</v>
      </c>
      <c r="N358" s="187">
        <v>10564.2</v>
      </c>
      <c r="O358" s="187">
        <v>10500.85</v>
      </c>
      <c r="Q358" s="188">
        <f t="shared" si="1"/>
        <v>0.00603284496</v>
      </c>
    </row>
    <row r="359">
      <c r="M359" s="184" t="s">
        <v>239</v>
      </c>
      <c r="N359" s="187">
        <v>10624.35</v>
      </c>
      <c r="O359" s="187">
        <v>10564.2</v>
      </c>
      <c r="Q359" s="188">
        <f t="shared" si="1"/>
        <v>0.005693758164</v>
      </c>
    </row>
    <row r="360">
      <c r="M360" s="184" t="s">
        <v>240</v>
      </c>
      <c r="N360" s="187">
        <v>10725.4</v>
      </c>
      <c r="O360" s="187">
        <v>10624.35</v>
      </c>
      <c r="Q360" s="188">
        <f t="shared" si="1"/>
        <v>0.009511170095</v>
      </c>
    </row>
    <row r="361">
      <c r="M361" s="184" t="s">
        <v>241</v>
      </c>
      <c r="N361" s="187">
        <v>10645.05</v>
      </c>
      <c r="O361" s="187">
        <v>10725.4</v>
      </c>
      <c r="Q361" s="188">
        <f t="shared" si="1"/>
        <v>-0.007491562086</v>
      </c>
    </row>
    <row r="362">
      <c r="M362" s="184" t="s">
        <v>242</v>
      </c>
      <c r="N362" s="187">
        <v>10681.0</v>
      </c>
      <c r="O362" s="187">
        <v>10645.05</v>
      </c>
      <c r="Q362" s="188">
        <f t="shared" si="1"/>
        <v>0.003377156519</v>
      </c>
    </row>
    <row r="363">
      <c r="M363" s="184" t="s">
        <v>243</v>
      </c>
      <c r="N363" s="187">
        <v>10721.05</v>
      </c>
      <c r="O363" s="187">
        <v>10681.0</v>
      </c>
      <c r="Q363" s="188">
        <f t="shared" si="1"/>
        <v>0.003749648909</v>
      </c>
    </row>
    <row r="364">
      <c r="M364" s="184" t="s">
        <v>244</v>
      </c>
      <c r="N364" s="187">
        <v>10763.6</v>
      </c>
      <c r="O364" s="187">
        <v>10721.05</v>
      </c>
      <c r="Q364" s="188">
        <f t="shared" si="1"/>
        <v>0.00396882768</v>
      </c>
    </row>
    <row r="365">
      <c r="M365" s="184" t="s">
        <v>245</v>
      </c>
      <c r="N365" s="187">
        <v>10733.0</v>
      </c>
      <c r="O365" s="187">
        <v>10763.6</v>
      </c>
      <c r="Q365" s="188">
        <f t="shared" si="1"/>
        <v>-0.00284291501</v>
      </c>
    </row>
    <row r="366">
      <c r="M366" s="184" t="s">
        <v>246</v>
      </c>
      <c r="N366" s="187">
        <v>10626.85</v>
      </c>
      <c r="O366" s="187">
        <v>10733.0</v>
      </c>
      <c r="Q366" s="188">
        <f t="shared" si="1"/>
        <v>-0.009890058697</v>
      </c>
    </row>
    <row r="367">
      <c r="M367" s="184" t="s">
        <v>247</v>
      </c>
      <c r="N367" s="187">
        <v>10540.85</v>
      </c>
      <c r="O367" s="187">
        <v>10626.85</v>
      </c>
      <c r="Q367" s="188">
        <f t="shared" si="1"/>
        <v>-0.008092708564</v>
      </c>
    </row>
    <row r="368">
      <c r="M368" s="184" t="s">
        <v>248</v>
      </c>
      <c r="N368" s="187">
        <v>10511.45</v>
      </c>
      <c r="O368" s="187">
        <v>10540.85</v>
      </c>
      <c r="Q368" s="188">
        <f t="shared" si="1"/>
        <v>-0.002789148883</v>
      </c>
    </row>
    <row r="369">
      <c r="M369" s="184" t="s">
        <v>249</v>
      </c>
      <c r="N369" s="187">
        <v>10518.7</v>
      </c>
      <c r="O369" s="187">
        <v>10511.45</v>
      </c>
      <c r="Q369" s="188">
        <f t="shared" si="1"/>
        <v>0.0006897240628</v>
      </c>
    </row>
    <row r="370">
      <c r="M370" s="184" t="s">
        <v>250</v>
      </c>
      <c r="N370" s="187">
        <v>10515.65</v>
      </c>
      <c r="O370" s="187">
        <v>10518.7</v>
      </c>
      <c r="Q370" s="188">
        <f t="shared" si="1"/>
        <v>-0.0002899597859</v>
      </c>
    </row>
    <row r="371">
      <c r="M371" s="184" t="s">
        <v>251</v>
      </c>
      <c r="N371" s="187">
        <v>10549.85</v>
      </c>
      <c r="O371" s="187">
        <v>10515.65</v>
      </c>
      <c r="Q371" s="188">
        <f t="shared" si="1"/>
        <v>0.003252295388</v>
      </c>
    </row>
    <row r="372">
      <c r="M372" s="184" t="s">
        <v>252</v>
      </c>
      <c r="N372" s="187">
        <v>10436.15</v>
      </c>
      <c r="O372" s="187">
        <v>10549.85</v>
      </c>
      <c r="Q372" s="188">
        <f t="shared" si="1"/>
        <v>-0.01077740442</v>
      </c>
    </row>
    <row r="373">
      <c r="M373" s="184" t="s">
        <v>253</v>
      </c>
      <c r="N373" s="187">
        <v>10510.25</v>
      </c>
      <c r="O373" s="187">
        <v>10436.15</v>
      </c>
      <c r="Q373" s="188">
        <f t="shared" si="1"/>
        <v>0.007100319562</v>
      </c>
    </row>
    <row r="374">
      <c r="M374" s="186">
        <v>45202.0</v>
      </c>
      <c r="N374" s="187">
        <v>10474.6</v>
      </c>
      <c r="O374" s="187">
        <v>10510.25</v>
      </c>
      <c r="Q374" s="188">
        <f t="shared" si="1"/>
        <v>-0.003391926928</v>
      </c>
    </row>
    <row r="375">
      <c r="M375" s="186">
        <v>45203.0</v>
      </c>
      <c r="N375" s="187">
        <v>10399.55</v>
      </c>
      <c r="O375" s="187">
        <v>10474.6</v>
      </c>
      <c r="Q375" s="188">
        <f t="shared" si="1"/>
        <v>-0.007164951406</v>
      </c>
    </row>
    <row r="376">
      <c r="M376" s="186">
        <v>45204.0</v>
      </c>
      <c r="N376" s="187">
        <v>10445.0</v>
      </c>
      <c r="O376" s="187">
        <v>10399.55</v>
      </c>
      <c r="Q376" s="188">
        <f t="shared" si="1"/>
        <v>0.004370381411</v>
      </c>
    </row>
    <row r="377">
      <c r="M377" s="186">
        <v>45205.0</v>
      </c>
      <c r="N377" s="187">
        <v>10503.75</v>
      </c>
      <c r="O377" s="187">
        <v>10445.0</v>
      </c>
      <c r="Q377" s="188">
        <f t="shared" si="1"/>
        <v>0.005624700814</v>
      </c>
    </row>
    <row r="378">
      <c r="M378" s="186">
        <v>45208.0</v>
      </c>
      <c r="N378" s="187">
        <v>10411.75</v>
      </c>
      <c r="O378" s="187">
        <v>10503.75</v>
      </c>
      <c r="Q378" s="188">
        <f t="shared" si="1"/>
        <v>-0.008758776627</v>
      </c>
    </row>
    <row r="379">
      <c r="M379" s="192">
        <v>45209.0</v>
      </c>
      <c r="N379" s="187">
        <v>10518.45</v>
      </c>
      <c r="O379" s="187">
        <v>10411.75</v>
      </c>
      <c r="Q379" s="188">
        <f t="shared" si="1"/>
        <v>0.01024803707</v>
      </c>
    </row>
    <row r="380">
      <c r="M380" s="192">
        <v>45210.0</v>
      </c>
      <c r="N380" s="187">
        <v>10581.1</v>
      </c>
      <c r="O380" s="187">
        <v>10518.45</v>
      </c>
      <c r="Q380" s="188">
        <f t="shared" si="1"/>
        <v>0.005956200771</v>
      </c>
    </row>
    <row r="381">
      <c r="M381" s="192">
        <v>45211.0</v>
      </c>
      <c r="N381" s="187">
        <v>10579.85</v>
      </c>
      <c r="O381" s="187">
        <v>10581.1</v>
      </c>
      <c r="Q381" s="188">
        <f t="shared" si="1"/>
        <v>-0.0001181351655</v>
      </c>
    </row>
    <row r="382">
      <c r="M382" s="192">
        <v>45212.0</v>
      </c>
      <c r="N382" s="187">
        <v>10561.3</v>
      </c>
      <c r="O382" s="187">
        <v>10579.85</v>
      </c>
      <c r="Q382" s="188">
        <f t="shared" si="1"/>
        <v>-0.001753332987</v>
      </c>
    </row>
    <row r="383">
      <c r="M383" s="192">
        <v>45215.0</v>
      </c>
      <c r="N383" s="187">
        <v>10559.55</v>
      </c>
      <c r="O383" s="187">
        <v>10561.3</v>
      </c>
      <c r="Q383" s="188">
        <f t="shared" si="1"/>
        <v>-0.0001656992984</v>
      </c>
    </row>
    <row r="384">
      <c r="M384" s="192">
        <v>45216.0</v>
      </c>
      <c r="N384" s="187">
        <v>10600.8</v>
      </c>
      <c r="O384" s="187">
        <v>10559.55</v>
      </c>
      <c r="Q384" s="188">
        <f t="shared" si="1"/>
        <v>0.003906416467</v>
      </c>
    </row>
    <row r="385">
      <c r="M385" s="192">
        <v>45217.0</v>
      </c>
      <c r="N385" s="187">
        <v>10519.25</v>
      </c>
      <c r="O385" s="187">
        <v>10600.8</v>
      </c>
      <c r="Q385" s="188">
        <f t="shared" si="1"/>
        <v>-0.007692815637</v>
      </c>
    </row>
    <row r="386">
      <c r="M386" s="192">
        <v>45218.0</v>
      </c>
      <c r="N386" s="187">
        <v>10495.55</v>
      </c>
      <c r="O386" s="187">
        <v>10519.25</v>
      </c>
      <c r="Q386" s="188">
        <f t="shared" si="1"/>
        <v>-0.002253012335</v>
      </c>
    </row>
    <row r="387">
      <c r="M387" s="192">
        <v>45219.0</v>
      </c>
      <c r="N387" s="187">
        <v>10435.0</v>
      </c>
      <c r="O387" s="187">
        <v>10495.55</v>
      </c>
      <c r="Q387" s="188">
        <f t="shared" si="1"/>
        <v>-0.005769111671</v>
      </c>
    </row>
    <row r="388">
      <c r="M388" s="192">
        <v>45222.0</v>
      </c>
      <c r="N388" s="187">
        <v>10266.15</v>
      </c>
      <c r="O388" s="187">
        <v>10435.0</v>
      </c>
      <c r="Q388" s="188">
        <f t="shared" si="1"/>
        <v>-0.01618112123</v>
      </c>
    </row>
    <row r="389">
      <c r="M389" s="192">
        <v>45224.0</v>
      </c>
      <c r="N389" s="187">
        <v>10185.75</v>
      </c>
      <c r="O389" s="187">
        <v>10266.15</v>
      </c>
      <c r="Q389" s="188">
        <f t="shared" si="1"/>
        <v>-0.007831562952</v>
      </c>
    </row>
    <row r="390">
      <c r="M390" s="192">
        <v>45225.0</v>
      </c>
      <c r="N390" s="187">
        <v>10052.5</v>
      </c>
      <c r="O390" s="187">
        <v>10185.75</v>
      </c>
      <c r="Q390" s="188">
        <f t="shared" si="1"/>
        <v>-0.01308200182</v>
      </c>
    </row>
    <row r="391">
      <c r="M391" s="192">
        <v>45226.0</v>
      </c>
      <c r="N391" s="187">
        <v>10173.65</v>
      </c>
      <c r="O391" s="187">
        <v>10052.5</v>
      </c>
      <c r="Q391" s="188">
        <f t="shared" si="1"/>
        <v>0.01205172843</v>
      </c>
    </row>
    <row r="392">
      <c r="M392" s="192">
        <v>45229.0</v>
      </c>
      <c r="N392" s="187">
        <v>10213.6</v>
      </c>
      <c r="O392" s="187">
        <v>10173.65</v>
      </c>
      <c r="Q392" s="188">
        <f t="shared" si="1"/>
        <v>0.003926810928</v>
      </c>
    </row>
    <row r="393">
      <c r="M393" s="192">
        <v>45230.0</v>
      </c>
      <c r="N393" s="187">
        <v>10198.35</v>
      </c>
      <c r="O393" s="187">
        <v>10213.6</v>
      </c>
      <c r="Q393" s="188">
        <f t="shared" si="1"/>
        <v>-0.00149310723</v>
      </c>
    </row>
    <row r="394">
      <c r="M394" s="186">
        <v>45231.0</v>
      </c>
      <c r="N394" s="187">
        <v>10151.95</v>
      </c>
      <c r="O394" s="187">
        <v>10198.35</v>
      </c>
      <c r="Q394" s="188">
        <f t="shared" si="1"/>
        <v>-0.004549755598</v>
      </c>
    </row>
    <row r="395">
      <c r="M395" s="186">
        <v>45232.0</v>
      </c>
      <c r="N395" s="187">
        <v>10248.15</v>
      </c>
      <c r="O395" s="187">
        <v>10151.95</v>
      </c>
      <c r="Q395" s="188">
        <f t="shared" si="1"/>
        <v>0.009476011998</v>
      </c>
    </row>
    <row r="396">
      <c r="M396" s="186">
        <v>45233.0</v>
      </c>
      <c r="N396" s="187">
        <v>10311.25</v>
      </c>
      <c r="O396" s="187">
        <v>10248.15</v>
      </c>
      <c r="Q396" s="188">
        <f t="shared" si="1"/>
        <v>0.006157208862</v>
      </c>
    </row>
    <row r="397">
      <c r="M397" s="186">
        <v>45236.0</v>
      </c>
      <c r="N397" s="187">
        <v>10405.65</v>
      </c>
      <c r="O397" s="187">
        <v>10311.25</v>
      </c>
      <c r="Q397" s="188">
        <f t="shared" si="1"/>
        <v>0.009155049097</v>
      </c>
    </row>
    <row r="398">
      <c r="M398" s="186">
        <v>45237.0</v>
      </c>
      <c r="N398" s="187">
        <v>10418.1</v>
      </c>
      <c r="O398" s="187">
        <v>10405.65</v>
      </c>
      <c r="Q398" s="188">
        <f t="shared" si="1"/>
        <v>0.001196465382</v>
      </c>
    </row>
    <row r="399">
      <c r="M399" s="186">
        <v>45238.0</v>
      </c>
      <c r="N399" s="187">
        <v>10457.95</v>
      </c>
      <c r="O399" s="187">
        <v>10418.1</v>
      </c>
      <c r="Q399" s="188">
        <f t="shared" si="1"/>
        <v>0.00382507367</v>
      </c>
    </row>
    <row r="400">
      <c r="M400" s="186">
        <v>45239.0</v>
      </c>
      <c r="N400" s="187">
        <v>10435.8</v>
      </c>
      <c r="O400" s="187">
        <v>10457.95</v>
      </c>
      <c r="Q400" s="188">
        <f t="shared" si="1"/>
        <v>-0.002118005919</v>
      </c>
    </row>
    <row r="401">
      <c r="M401" s="192">
        <v>45240.0</v>
      </c>
      <c r="N401" s="187">
        <v>10457.55</v>
      </c>
      <c r="O401" s="187">
        <v>10435.8</v>
      </c>
      <c r="Q401" s="188">
        <f t="shared" si="1"/>
        <v>0.002084171793</v>
      </c>
    </row>
    <row r="402">
      <c r="M402" s="192">
        <v>45242.0</v>
      </c>
      <c r="N402" s="187">
        <v>10512.75</v>
      </c>
      <c r="O402" s="187">
        <v>10457.55</v>
      </c>
      <c r="Q402" s="188">
        <f t="shared" si="1"/>
        <v>0.00527848301</v>
      </c>
    </row>
    <row r="403">
      <c r="M403" s="192">
        <v>45243.0</v>
      </c>
      <c r="N403" s="187">
        <v>10482.45</v>
      </c>
      <c r="O403" s="187">
        <v>10512.75</v>
      </c>
      <c r="Q403" s="188">
        <f t="shared" si="1"/>
        <v>-0.002882214454</v>
      </c>
    </row>
    <row r="404">
      <c r="M404" s="192">
        <v>45245.0</v>
      </c>
      <c r="N404" s="187">
        <v>10599.45</v>
      </c>
      <c r="O404" s="187">
        <v>10482.45</v>
      </c>
      <c r="Q404" s="188">
        <f t="shared" si="1"/>
        <v>0.01116151281</v>
      </c>
    </row>
    <row r="405">
      <c r="M405" s="192">
        <v>45246.0</v>
      </c>
      <c r="N405" s="187">
        <v>10651.85</v>
      </c>
      <c r="O405" s="187">
        <v>10599.45</v>
      </c>
      <c r="Q405" s="188">
        <f t="shared" si="1"/>
        <v>0.004943652737</v>
      </c>
    </row>
    <row r="406">
      <c r="M406" s="192">
        <v>45247.0</v>
      </c>
      <c r="N406" s="187">
        <v>10649.5</v>
      </c>
      <c r="O406" s="187">
        <v>10651.85</v>
      </c>
      <c r="Q406" s="188">
        <f t="shared" si="1"/>
        <v>-0.0002206189535</v>
      </c>
    </row>
    <row r="407">
      <c r="M407" s="192">
        <v>45250.0</v>
      </c>
      <c r="N407" s="187">
        <v>10631.8</v>
      </c>
      <c r="O407" s="187">
        <v>10649.5</v>
      </c>
      <c r="Q407" s="188">
        <f t="shared" si="1"/>
        <v>-0.001662049861</v>
      </c>
    </row>
    <row r="408">
      <c r="M408" s="192">
        <v>45251.0</v>
      </c>
      <c r="N408" s="187">
        <v>10667.35</v>
      </c>
      <c r="O408" s="187">
        <v>10631.8</v>
      </c>
      <c r="Q408" s="188">
        <f t="shared" si="1"/>
        <v>0.003343742358</v>
      </c>
    </row>
    <row r="409">
      <c r="M409" s="192">
        <v>45252.0</v>
      </c>
      <c r="N409" s="187">
        <v>10678.65</v>
      </c>
      <c r="O409" s="187">
        <v>10667.35</v>
      </c>
      <c r="Q409" s="188">
        <f t="shared" si="1"/>
        <v>0.001059307138</v>
      </c>
    </row>
    <row r="410">
      <c r="M410" s="192">
        <v>45253.0</v>
      </c>
      <c r="N410" s="187">
        <v>10678.9</v>
      </c>
      <c r="O410" s="187">
        <v>10678.65</v>
      </c>
      <c r="Q410" s="188">
        <f t="shared" si="1"/>
        <v>0.00002341119898</v>
      </c>
    </row>
    <row r="411">
      <c r="M411" s="192">
        <v>45254.0</v>
      </c>
      <c r="N411" s="187">
        <v>10676.5</v>
      </c>
      <c r="O411" s="187">
        <v>10678.9</v>
      </c>
      <c r="Q411" s="188">
        <f t="shared" si="1"/>
        <v>-0.0002247422487</v>
      </c>
    </row>
    <row r="412">
      <c r="M412" s="192">
        <v>45258.0</v>
      </c>
      <c r="N412" s="187">
        <v>10742.95</v>
      </c>
      <c r="O412" s="187">
        <v>10676.5</v>
      </c>
      <c r="Q412" s="188">
        <f t="shared" si="1"/>
        <v>0.006223949796</v>
      </c>
    </row>
    <row r="413">
      <c r="M413" s="192">
        <v>45259.0</v>
      </c>
      <c r="N413" s="187">
        <v>10846.45</v>
      </c>
      <c r="O413" s="187">
        <v>10742.95</v>
      </c>
      <c r="Q413" s="188">
        <f t="shared" si="1"/>
        <v>0.009634225236</v>
      </c>
    </row>
    <row r="414">
      <c r="M414" s="192">
        <v>45260.0</v>
      </c>
      <c r="N414" s="187">
        <v>10887.35</v>
      </c>
      <c r="O414" s="187">
        <v>10846.45</v>
      </c>
      <c r="Q414" s="188">
        <f t="shared" si="1"/>
        <v>0.003770819024</v>
      </c>
    </row>
    <row r="415">
      <c r="M415" s="186">
        <v>45261.0</v>
      </c>
      <c r="N415" s="187">
        <v>10969.0</v>
      </c>
      <c r="O415" s="187">
        <v>10887.35</v>
      </c>
      <c r="Q415" s="188">
        <f t="shared" si="1"/>
        <v>0.00749952927</v>
      </c>
    </row>
    <row r="416">
      <c r="M416" s="186">
        <v>45264.0</v>
      </c>
      <c r="N416" s="187">
        <v>11180.75</v>
      </c>
      <c r="O416" s="187">
        <v>10969.0</v>
      </c>
      <c r="Q416" s="188">
        <f t="shared" si="1"/>
        <v>0.01930440332</v>
      </c>
    </row>
    <row r="417">
      <c r="M417" s="186">
        <v>45265.0</v>
      </c>
      <c r="N417" s="187">
        <v>11275.95</v>
      </c>
      <c r="O417" s="187">
        <v>11180.75</v>
      </c>
      <c r="Q417" s="188">
        <f t="shared" si="1"/>
        <v>0.008514634528</v>
      </c>
    </row>
    <row r="418">
      <c r="M418" s="186">
        <v>45266.0</v>
      </c>
      <c r="N418" s="187">
        <v>11337.2</v>
      </c>
      <c r="O418" s="187">
        <v>11275.95</v>
      </c>
      <c r="Q418" s="188">
        <f t="shared" si="1"/>
        <v>0.005431914828</v>
      </c>
    </row>
    <row r="419">
      <c r="M419" s="186">
        <v>45267.0</v>
      </c>
      <c r="N419" s="187">
        <v>11348.45</v>
      </c>
      <c r="O419" s="187">
        <v>11337.2</v>
      </c>
      <c r="Q419" s="188">
        <f t="shared" si="1"/>
        <v>0.0009923085065</v>
      </c>
    </row>
    <row r="420">
      <c r="M420" s="186">
        <v>45268.0</v>
      </c>
      <c r="N420" s="187">
        <v>11358.8</v>
      </c>
      <c r="O420" s="187">
        <v>11348.45</v>
      </c>
      <c r="Q420" s="188">
        <f t="shared" si="1"/>
        <v>0.000912018822</v>
      </c>
    </row>
    <row r="421">
      <c r="M421" s="192">
        <v>45271.0</v>
      </c>
      <c r="N421" s="187">
        <v>11396.5</v>
      </c>
      <c r="O421" s="187">
        <v>11358.8</v>
      </c>
      <c r="Q421" s="188">
        <f t="shared" si="1"/>
        <v>0.003319012572</v>
      </c>
    </row>
    <row r="422">
      <c r="M422" s="192">
        <v>45272.0</v>
      </c>
      <c r="N422" s="187">
        <v>11342.55</v>
      </c>
      <c r="O422" s="187">
        <v>11396.5</v>
      </c>
      <c r="Q422" s="188">
        <f t="shared" si="1"/>
        <v>-0.004733909534</v>
      </c>
    </row>
    <row r="423">
      <c r="M423" s="192">
        <v>45273.0</v>
      </c>
      <c r="N423" s="187">
        <v>11376.7</v>
      </c>
      <c r="O423" s="187">
        <v>11342.55</v>
      </c>
      <c r="Q423" s="188">
        <f t="shared" si="1"/>
        <v>0.003010786816</v>
      </c>
    </row>
    <row r="424">
      <c r="M424" s="192">
        <v>45274.0</v>
      </c>
      <c r="N424" s="187">
        <v>11520.35</v>
      </c>
      <c r="O424" s="187">
        <v>11376.7</v>
      </c>
      <c r="Q424" s="188">
        <f t="shared" si="1"/>
        <v>0.01262668436</v>
      </c>
    </row>
    <row r="425">
      <c r="M425" s="192">
        <v>45275.0</v>
      </c>
      <c r="N425" s="187">
        <v>11627.8</v>
      </c>
      <c r="O425" s="187">
        <v>11520.35</v>
      </c>
      <c r="Q425" s="188">
        <f t="shared" si="1"/>
        <v>0.009326973573</v>
      </c>
    </row>
    <row r="426">
      <c r="M426" s="192">
        <v>45278.0</v>
      </c>
      <c r="N426" s="187">
        <v>11627.0</v>
      </c>
      <c r="O426" s="187">
        <v>11627.8</v>
      </c>
      <c r="Q426" s="188">
        <f t="shared" si="1"/>
        <v>-0.00006880063297</v>
      </c>
    </row>
    <row r="427">
      <c r="M427" s="192">
        <v>45279.0</v>
      </c>
      <c r="N427" s="187">
        <v>11637.45</v>
      </c>
      <c r="O427" s="187">
        <v>11627.0</v>
      </c>
      <c r="Q427" s="188">
        <f t="shared" si="1"/>
        <v>0.0008987701041</v>
      </c>
    </row>
    <row r="428">
      <c r="M428" s="192">
        <v>45280.0</v>
      </c>
      <c r="N428" s="187">
        <v>11417.2</v>
      </c>
      <c r="O428" s="187">
        <v>11637.45</v>
      </c>
      <c r="Q428" s="188">
        <f t="shared" si="1"/>
        <v>-0.01892596746</v>
      </c>
    </row>
    <row r="429">
      <c r="M429" s="192">
        <v>45281.0</v>
      </c>
      <c r="N429" s="187">
        <v>11507.65</v>
      </c>
      <c r="O429" s="187">
        <v>11417.2</v>
      </c>
      <c r="Q429" s="188">
        <f t="shared" si="1"/>
        <v>0.007922257646</v>
      </c>
    </row>
    <row r="430">
      <c r="M430" s="192">
        <v>45282.0</v>
      </c>
      <c r="N430" s="187">
        <v>11569.1</v>
      </c>
      <c r="O430" s="187">
        <v>11507.65</v>
      </c>
      <c r="Q430" s="188">
        <f t="shared" si="1"/>
        <v>0.005339926049</v>
      </c>
    </row>
    <row r="431">
      <c r="M431" s="192">
        <v>45286.0</v>
      </c>
      <c r="N431" s="187">
        <v>11629.85</v>
      </c>
      <c r="O431" s="187">
        <v>11569.1</v>
      </c>
      <c r="Q431" s="188">
        <f t="shared" si="1"/>
        <v>0.005251056694</v>
      </c>
    </row>
    <row r="432">
      <c r="M432" s="192">
        <v>45287.0</v>
      </c>
      <c r="N432" s="187">
        <v>11727.0</v>
      </c>
      <c r="O432" s="187">
        <v>11629.85</v>
      </c>
      <c r="Q432" s="188">
        <f t="shared" si="1"/>
        <v>0.008353504129</v>
      </c>
    </row>
    <row r="433">
      <c r="M433" s="192">
        <v>45288.0</v>
      </c>
      <c r="N433" s="187">
        <v>11790.05</v>
      </c>
      <c r="O433" s="187">
        <v>11727.0</v>
      </c>
      <c r="Q433" s="188">
        <f t="shared" si="1"/>
        <v>0.005376481624</v>
      </c>
    </row>
    <row r="434">
      <c r="M434" s="192">
        <v>45289.0</v>
      </c>
      <c r="N434" s="187">
        <v>11798.7</v>
      </c>
      <c r="O434" s="187">
        <v>11790.05</v>
      </c>
      <c r="Q434" s="188">
        <f t="shared" si="1"/>
        <v>0.0007336694925</v>
      </c>
    </row>
    <row r="435">
      <c r="M435" s="186">
        <v>45292.0</v>
      </c>
      <c r="N435" s="187">
        <v>11817.5</v>
      </c>
      <c r="O435" s="187">
        <v>11798.7</v>
      </c>
      <c r="Q435" s="188">
        <f t="shared" si="1"/>
        <v>0.001593395883</v>
      </c>
    </row>
    <row r="436">
      <c r="M436" s="186">
        <v>45293.0</v>
      </c>
      <c r="N436" s="187">
        <v>11782.6</v>
      </c>
      <c r="O436" s="187">
        <v>11817.5</v>
      </c>
      <c r="Q436" s="188">
        <f t="shared" si="1"/>
        <v>-0.002953247303</v>
      </c>
    </row>
    <row r="437">
      <c r="M437" s="186">
        <v>45294.0</v>
      </c>
      <c r="N437" s="187">
        <v>11745.5</v>
      </c>
      <c r="O437" s="187">
        <v>11782.6</v>
      </c>
      <c r="Q437" s="188">
        <f t="shared" si="1"/>
        <v>-0.003148710811</v>
      </c>
    </row>
    <row r="438">
      <c r="M438" s="186">
        <v>45295.0</v>
      </c>
      <c r="N438" s="187">
        <v>11850.6</v>
      </c>
      <c r="O438" s="187">
        <v>11745.5</v>
      </c>
      <c r="Q438" s="188">
        <f t="shared" si="1"/>
        <v>0.008948107786</v>
      </c>
    </row>
    <row r="439">
      <c r="M439" s="186">
        <v>45296.0</v>
      </c>
      <c r="N439" s="187">
        <v>11872.3</v>
      </c>
      <c r="O439" s="187">
        <v>11850.6</v>
      </c>
      <c r="Q439" s="188">
        <f t="shared" si="1"/>
        <v>0.001831130913</v>
      </c>
    </row>
    <row r="440">
      <c r="M440" s="186">
        <v>45299.0</v>
      </c>
      <c r="N440" s="187">
        <v>11759.7</v>
      </c>
      <c r="O440" s="187">
        <v>11872.3</v>
      </c>
      <c r="Q440" s="188">
        <f t="shared" si="1"/>
        <v>-0.009484261685</v>
      </c>
    </row>
    <row r="441">
      <c r="M441" s="186">
        <v>45300.0</v>
      </c>
      <c r="N441" s="187">
        <v>11782.9</v>
      </c>
      <c r="O441" s="187">
        <v>11759.7</v>
      </c>
      <c r="Q441" s="188">
        <f t="shared" si="1"/>
        <v>0.001972839443</v>
      </c>
    </row>
    <row r="442">
      <c r="M442" s="192">
        <v>45301.0</v>
      </c>
      <c r="N442" s="187">
        <v>11820.45</v>
      </c>
      <c r="O442" s="187">
        <v>11782.9</v>
      </c>
      <c r="Q442" s="188">
        <f t="shared" si="1"/>
        <v>0.00318682158</v>
      </c>
    </row>
    <row r="443">
      <c r="M443" s="192">
        <v>45302.0</v>
      </c>
      <c r="N443" s="187">
        <v>11855.2</v>
      </c>
      <c r="O443" s="187">
        <v>11820.45</v>
      </c>
      <c r="Q443" s="188">
        <f t="shared" si="1"/>
        <v>0.002939820396</v>
      </c>
    </row>
    <row r="444">
      <c r="M444" s="192">
        <v>45303.0</v>
      </c>
      <c r="N444" s="187">
        <v>11960.85</v>
      </c>
      <c r="O444" s="187">
        <v>11855.2</v>
      </c>
      <c r="Q444" s="188">
        <f t="shared" si="1"/>
        <v>0.008911701194</v>
      </c>
    </row>
    <row r="445">
      <c r="M445" s="192">
        <v>45306.0</v>
      </c>
      <c r="N445" s="187">
        <v>12055.4</v>
      </c>
      <c r="O445" s="187">
        <v>11960.85</v>
      </c>
      <c r="Q445" s="188">
        <f t="shared" si="1"/>
        <v>0.007904956588</v>
      </c>
    </row>
    <row r="446">
      <c r="M446" s="192">
        <v>45307.0</v>
      </c>
      <c r="N446" s="187">
        <v>12019.45</v>
      </c>
      <c r="O446" s="187">
        <v>12055.4</v>
      </c>
      <c r="Q446" s="188">
        <f t="shared" si="1"/>
        <v>-0.002982066128</v>
      </c>
    </row>
    <row r="447">
      <c r="M447" s="192">
        <v>45308.0</v>
      </c>
      <c r="N447" s="187">
        <v>11801.35</v>
      </c>
      <c r="O447" s="187">
        <v>12019.45</v>
      </c>
      <c r="Q447" s="188">
        <f t="shared" si="1"/>
        <v>-0.01814558902</v>
      </c>
    </row>
    <row r="448">
      <c r="M448" s="192">
        <v>45309.0</v>
      </c>
      <c r="N448" s="187">
        <v>11749.35</v>
      </c>
      <c r="O448" s="187">
        <v>11801.35</v>
      </c>
      <c r="Q448" s="188">
        <f t="shared" si="1"/>
        <v>-0.004406275553</v>
      </c>
    </row>
    <row r="449">
      <c r="M449" s="192">
        <v>45310.0</v>
      </c>
      <c r="N449" s="187">
        <v>11862.3</v>
      </c>
      <c r="O449" s="187">
        <v>11749.35</v>
      </c>
      <c r="Q449" s="188">
        <f t="shared" si="1"/>
        <v>0.009613297757</v>
      </c>
    </row>
    <row r="450">
      <c r="M450" s="192">
        <v>45311.0</v>
      </c>
      <c r="N450" s="187">
        <v>11855.95</v>
      </c>
      <c r="O450" s="187">
        <v>11862.3</v>
      </c>
      <c r="Q450" s="188">
        <f t="shared" si="1"/>
        <v>-0.0005353093414</v>
      </c>
    </row>
    <row r="451">
      <c r="M451" s="192">
        <v>45314.0</v>
      </c>
      <c r="N451" s="187">
        <v>11626.8</v>
      </c>
      <c r="O451" s="187">
        <v>11855.95</v>
      </c>
      <c r="Q451" s="188">
        <f t="shared" si="1"/>
        <v>-0.01932784804</v>
      </c>
    </row>
    <row r="452">
      <c r="M452" s="192">
        <v>45315.0</v>
      </c>
      <c r="N452" s="187">
        <v>11769.4</v>
      </c>
      <c r="O452" s="187">
        <v>11626.8</v>
      </c>
      <c r="Q452" s="188">
        <f t="shared" si="1"/>
        <v>0.01226476761</v>
      </c>
    </row>
    <row r="453">
      <c r="M453" s="192">
        <v>45316.0</v>
      </c>
      <c r="N453" s="187">
        <v>11724.75</v>
      </c>
      <c r="O453" s="187">
        <v>11769.4</v>
      </c>
      <c r="Q453" s="188">
        <f t="shared" si="1"/>
        <v>-0.003793736299</v>
      </c>
    </row>
    <row r="454">
      <c r="M454" s="192">
        <v>45320.0</v>
      </c>
      <c r="N454" s="187">
        <v>11925.9</v>
      </c>
      <c r="O454" s="187">
        <v>11724.75</v>
      </c>
      <c r="Q454" s="188">
        <f t="shared" si="1"/>
        <v>0.01715601612</v>
      </c>
    </row>
    <row r="455">
      <c r="M455" s="192">
        <v>45321.0</v>
      </c>
      <c r="N455" s="187">
        <v>11829.6</v>
      </c>
      <c r="O455" s="187">
        <v>11925.9</v>
      </c>
      <c r="Q455" s="188">
        <f t="shared" si="1"/>
        <v>-0.008074862275</v>
      </c>
    </row>
    <row r="456">
      <c r="M456" s="192">
        <v>45322.0</v>
      </c>
      <c r="N456" s="187">
        <v>11953.8</v>
      </c>
      <c r="O456" s="187">
        <v>11829.6</v>
      </c>
      <c r="Q456" s="188">
        <f t="shared" si="1"/>
        <v>0.01049908704</v>
      </c>
    </row>
    <row r="457">
      <c r="M457" s="186">
        <v>45323.0</v>
      </c>
      <c r="N457" s="187">
        <v>11937.65</v>
      </c>
      <c r="O457" s="187">
        <v>11953.8</v>
      </c>
      <c r="Q457" s="188">
        <f t="shared" si="1"/>
        <v>-0.001351034817</v>
      </c>
    </row>
    <row r="458">
      <c r="M458" s="186">
        <v>45324.0</v>
      </c>
      <c r="N458" s="187">
        <v>12017.2</v>
      </c>
      <c r="O458" s="187">
        <v>11937.65</v>
      </c>
      <c r="Q458" s="188">
        <f t="shared" si="1"/>
        <v>0.006663790612</v>
      </c>
    </row>
    <row r="459">
      <c r="M459" s="186">
        <v>45327.0</v>
      </c>
      <c r="N459" s="187">
        <v>11975.65</v>
      </c>
      <c r="O459" s="187">
        <v>12017.2</v>
      </c>
      <c r="Q459" s="188">
        <f t="shared" si="1"/>
        <v>-0.003457544187</v>
      </c>
    </row>
    <row r="460">
      <c r="M460" s="186">
        <v>45328.0</v>
      </c>
      <c r="N460" s="187">
        <v>12082.95</v>
      </c>
      <c r="O460" s="187">
        <v>11975.65</v>
      </c>
      <c r="Q460" s="188">
        <f t="shared" si="1"/>
        <v>0.008959847691</v>
      </c>
    </row>
    <row r="461">
      <c r="M461" s="186">
        <v>45329.0</v>
      </c>
      <c r="N461" s="187">
        <v>12126.8</v>
      </c>
      <c r="O461" s="187">
        <v>12082.95</v>
      </c>
      <c r="Q461" s="188">
        <f t="shared" si="1"/>
        <v>0.003629080647</v>
      </c>
    </row>
    <row r="462">
      <c r="M462" s="186">
        <v>45330.0</v>
      </c>
      <c r="N462" s="187">
        <v>12052.65</v>
      </c>
      <c r="O462" s="187">
        <v>12126.8</v>
      </c>
      <c r="Q462" s="188">
        <f t="shared" si="1"/>
        <v>-0.00611455619</v>
      </c>
    </row>
    <row r="463">
      <c r="M463" s="186">
        <v>45331.0</v>
      </c>
      <c r="N463" s="187">
        <v>12055.65</v>
      </c>
      <c r="O463" s="187">
        <v>12052.65</v>
      </c>
      <c r="Q463" s="188">
        <f t="shared" si="1"/>
        <v>0.0002489079165</v>
      </c>
    </row>
    <row r="464">
      <c r="M464" s="192">
        <v>45334.0</v>
      </c>
      <c r="N464" s="187">
        <v>11914.1</v>
      </c>
      <c r="O464" s="187">
        <v>12055.65</v>
      </c>
      <c r="Q464" s="188">
        <f t="shared" si="1"/>
        <v>-0.01174138267</v>
      </c>
    </row>
    <row r="465">
      <c r="M465" s="192">
        <v>45335.0</v>
      </c>
      <c r="N465" s="187">
        <v>11983.85</v>
      </c>
      <c r="O465" s="187">
        <v>11914.1</v>
      </c>
      <c r="Q465" s="188">
        <f t="shared" si="1"/>
        <v>0.005854407803</v>
      </c>
    </row>
    <row r="466">
      <c r="M466" s="192">
        <v>45336.0</v>
      </c>
      <c r="N466" s="187">
        <v>12063.45</v>
      </c>
      <c r="O466" s="187">
        <v>11983.85</v>
      </c>
      <c r="Q466" s="188">
        <f t="shared" si="1"/>
        <v>0.006642272725</v>
      </c>
    </row>
    <row r="467">
      <c r="M467" s="192">
        <v>45337.0</v>
      </c>
      <c r="N467" s="187">
        <v>12124.8</v>
      </c>
      <c r="O467" s="187">
        <v>12063.45</v>
      </c>
      <c r="Q467" s="188">
        <f t="shared" si="1"/>
        <v>0.005085609838</v>
      </c>
    </row>
    <row r="468">
      <c r="M468" s="192">
        <v>45338.0</v>
      </c>
      <c r="N468" s="187">
        <v>12198.65</v>
      </c>
      <c r="O468" s="187">
        <v>12124.8</v>
      </c>
      <c r="Q468" s="188">
        <f t="shared" si="1"/>
        <v>0.006090822117</v>
      </c>
    </row>
    <row r="469">
      <c r="M469" s="192">
        <v>45341.0</v>
      </c>
      <c r="N469" s="187">
        <v>12240.95</v>
      </c>
      <c r="O469" s="187">
        <v>12198.65</v>
      </c>
      <c r="Q469" s="188">
        <f t="shared" si="1"/>
        <v>0.003467596824</v>
      </c>
    </row>
    <row r="470">
      <c r="M470" s="192">
        <v>45342.0</v>
      </c>
      <c r="N470" s="187">
        <v>12269.1</v>
      </c>
      <c r="O470" s="187">
        <v>12240.95</v>
      </c>
      <c r="Q470" s="188">
        <f t="shared" si="1"/>
        <v>0.002299658115</v>
      </c>
    </row>
    <row r="471">
      <c r="M471" s="192">
        <v>45343.0</v>
      </c>
      <c r="N471" s="187">
        <v>12181.8</v>
      </c>
      <c r="O471" s="187">
        <v>12269.1</v>
      </c>
      <c r="Q471" s="188">
        <f t="shared" si="1"/>
        <v>-0.00711543634</v>
      </c>
    </row>
    <row r="472">
      <c r="M472" s="192">
        <v>45344.0</v>
      </c>
      <c r="N472" s="187">
        <v>12282.4</v>
      </c>
      <c r="O472" s="187">
        <v>12181.8</v>
      </c>
      <c r="Q472" s="188">
        <f t="shared" si="1"/>
        <v>0.008258221281</v>
      </c>
    </row>
    <row r="473">
      <c r="M473" s="192">
        <v>45345.0</v>
      </c>
      <c r="N473" s="187">
        <v>12292.45</v>
      </c>
      <c r="O473" s="187">
        <v>12282.4</v>
      </c>
      <c r="Q473" s="188">
        <f t="shared" si="1"/>
        <v>0.0008182439914</v>
      </c>
    </row>
    <row r="474">
      <c r="M474" s="192">
        <v>45348.0</v>
      </c>
      <c r="N474" s="187">
        <v>12255.15</v>
      </c>
      <c r="O474" s="187">
        <v>12292.45</v>
      </c>
      <c r="Q474" s="188">
        <f t="shared" si="1"/>
        <v>-0.003034382894</v>
      </c>
    </row>
    <row r="475">
      <c r="M475" s="192">
        <v>45349.0</v>
      </c>
      <c r="N475" s="187">
        <v>12277.55</v>
      </c>
      <c r="O475" s="187">
        <v>12255.15</v>
      </c>
      <c r="Q475" s="188">
        <f t="shared" si="1"/>
        <v>0.001827803005</v>
      </c>
    </row>
    <row r="476">
      <c r="M476" s="192">
        <v>45350.0</v>
      </c>
      <c r="N476" s="187">
        <v>12119.45</v>
      </c>
      <c r="O476" s="187">
        <v>12277.55</v>
      </c>
      <c r="Q476" s="188">
        <f t="shared" si="1"/>
        <v>-0.01287716197</v>
      </c>
    </row>
    <row r="477">
      <c r="M477" s="192">
        <v>45351.0</v>
      </c>
      <c r="N477" s="187">
        <v>12160.45</v>
      </c>
      <c r="O477" s="187">
        <v>12119.45</v>
      </c>
      <c r="Q477" s="188">
        <f t="shared" si="1"/>
        <v>0.003382991802</v>
      </c>
    </row>
    <row r="478">
      <c r="M478" s="186">
        <v>45352.0</v>
      </c>
      <c r="N478" s="187">
        <v>12331.15</v>
      </c>
      <c r="O478" s="187">
        <v>12160.45</v>
      </c>
      <c r="Q478" s="188">
        <f t="shared" si="1"/>
        <v>0.01403730947</v>
      </c>
    </row>
    <row r="479">
      <c r="M479" s="186">
        <v>45355.0</v>
      </c>
      <c r="N479" s="187">
        <v>12386.95</v>
      </c>
      <c r="O479" s="187">
        <v>12331.15</v>
      </c>
      <c r="Q479" s="188">
        <f t="shared" si="1"/>
        <v>0.004525125394</v>
      </c>
    </row>
    <row r="480">
      <c r="M480" s="186">
        <v>45356.0</v>
      </c>
      <c r="N480" s="187">
        <v>12361.55</v>
      </c>
      <c r="O480" s="187">
        <v>12386.95</v>
      </c>
      <c r="Q480" s="188">
        <f t="shared" si="1"/>
        <v>-0.00205054513</v>
      </c>
    </row>
    <row r="481">
      <c r="M481" s="186">
        <v>45357.0</v>
      </c>
      <c r="N481" s="187">
        <v>12391.25</v>
      </c>
      <c r="O481" s="187">
        <v>12361.55</v>
      </c>
      <c r="Q481" s="188">
        <f t="shared" si="1"/>
        <v>0.002402611323</v>
      </c>
    </row>
    <row r="482">
      <c r="M482" s="186">
        <v>45358.0</v>
      </c>
      <c r="N482" s="187">
        <v>12417.25</v>
      </c>
      <c r="O482" s="187">
        <v>12391.25</v>
      </c>
      <c r="Q482" s="188">
        <f t="shared" si="1"/>
        <v>0.002098254817</v>
      </c>
    </row>
    <row r="483">
      <c r="M483" s="192">
        <v>45362.0</v>
      </c>
      <c r="N483" s="187">
        <v>12345.7</v>
      </c>
      <c r="O483" s="187">
        <v>12417.25</v>
      </c>
      <c r="Q483" s="188">
        <f t="shared" si="1"/>
        <v>-0.005762145403</v>
      </c>
    </row>
    <row r="484">
      <c r="M484" s="192">
        <v>45363.0</v>
      </c>
      <c r="N484" s="187">
        <v>12293.65</v>
      </c>
      <c r="O484" s="187">
        <v>12345.7</v>
      </c>
      <c r="Q484" s="188">
        <f t="shared" si="1"/>
        <v>-0.004216042833</v>
      </c>
    </row>
    <row r="485">
      <c r="M485" s="192">
        <v>45364.0</v>
      </c>
      <c r="N485" s="187">
        <v>12008.8</v>
      </c>
      <c r="O485" s="187">
        <v>12293.65</v>
      </c>
      <c r="Q485" s="188">
        <f t="shared" si="1"/>
        <v>-0.02317049859</v>
      </c>
    </row>
    <row r="486">
      <c r="M486" s="192">
        <v>45365.0</v>
      </c>
      <c r="N486" s="187">
        <v>12147.85</v>
      </c>
      <c r="O486" s="187">
        <v>12008.8</v>
      </c>
      <c r="Q486" s="188">
        <f t="shared" si="1"/>
        <v>0.01157900873</v>
      </c>
    </row>
    <row r="487">
      <c r="M487" s="192">
        <v>45366.0</v>
      </c>
      <c r="N487" s="187">
        <v>12080.65</v>
      </c>
      <c r="O487" s="187">
        <v>12147.85</v>
      </c>
      <c r="Q487" s="188">
        <f t="shared" si="1"/>
        <v>-0.005531843083</v>
      </c>
    </row>
    <row r="488">
      <c r="M488" s="192">
        <v>45369.0</v>
      </c>
      <c r="N488" s="187">
        <v>12094.45</v>
      </c>
      <c r="O488" s="187">
        <v>12080.65</v>
      </c>
      <c r="Q488" s="188">
        <f t="shared" si="1"/>
        <v>0.00114232264</v>
      </c>
    </row>
    <row r="489">
      <c r="M489" s="192">
        <v>45370.0</v>
      </c>
      <c r="N489" s="187">
        <v>11950.45</v>
      </c>
      <c r="O489" s="187">
        <v>12094.45</v>
      </c>
      <c r="Q489" s="188">
        <f t="shared" si="1"/>
        <v>-0.01190628759</v>
      </c>
    </row>
    <row r="490">
      <c r="M490" s="192">
        <v>45371.0</v>
      </c>
      <c r="N490" s="187">
        <v>11965.25</v>
      </c>
      <c r="O490" s="187">
        <v>11950.45</v>
      </c>
      <c r="Q490" s="188">
        <f t="shared" si="1"/>
        <v>0.001238447088</v>
      </c>
    </row>
    <row r="491">
      <c r="M491" s="192">
        <v>45372.0</v>
      </c>
      <c r="N491" s="187">
        <v>12114.5</v>
      </c>
      <c r="O491" s="187">
        <v>11965.25</v>
      </c>
      <c r="Q491" s="188">
        <f t="shared" si="1"/>
        <v>0.01247362153</v>
      </c>
    </row>
    <row r="492">
      <c r="M492" s="192">
        <v>45373.0</v>
      </c>
      <c r="N492" s="187">
        <v>12168.75</v>
      </c>
      <c r="O492" s="187">
        <v>12114.5</v>
      </c>
      <c r="Q492" s="188">
        <f t="shared" si="1"/>
        <v>0.004478104751</v>
      </c>
    </row>
    <row r="493">
      <c r="M493" s="192">
        <v>45377.0</v>
      </c>
      <c r="N493" s="187">
        <v>12173.65</v>
      </c>
      <c r="O493" s="187">
        <v>12168.75</v>
      </c>
      <c r="Q493" s="188">
        <f t="shared" si="1"/>
        <v>0.0004026707756</v>
      </c>
    </row>
    <row r="494">
      <c r="M494" s="192">
        <v>45378.0</v>
      </c>
      <c r="N494" s="187">
        <v>12219.0</v>
      </c>
      <c r="O494" s="187">
        <v>12173.65</v>
      </c>
      <c r="Q494" s="188">
        <f t="shared" si="1"/>
        <v>0.003725259064</v>
      </c>
    </row>
    <row r="495">
      <c r="M495" s="192">
        <v>45379.0</v>
      </c>
      <c r="N495" s="187">
        <v>12329.75</v>
      </c>
      <c r="O495" s="187">
        <v>12219.0</v>
      </c>
      <c r="Q495" s="188">
        <f t="shared" si="1"/>
        <v>0.009063753171</v>
      </c>
    </row>
    <row r="496">
      <c r="M496" s="186">
        <v>45383.0</v>
      </c>
      <c r="N496" s="187">
        <v>12447.2</v>
      </c>
      <c r="O496" s="187">
        <v>12329.75</v>
      </c>
      <c r="Q496" s="188">
        <f t="shared" si="1"/>
        <v>0.009525740587</v>
      </c>
    </row>
    <row r="497">
      <c r="M497" s="186">
        <v>45384.0</v>
      </c>
      <c r="N497" s="187">
        <v>12483.4</v>
      </c>
      <c r="O497" s="187">
        <v>12447.2</v>
      </c>
      <c r="Q497" s="188">
        <f t="shared" si="1"/>
        <v>0.002908284594</v>
      </c>
    </row>
    <row r="498">
      <c r="M498" s="186">
        <v>45385.0</v>
      </c>
      <c r="N498" s="187">
        <v>12492.45</v>
      </c>
      <c r="O498" s="187">
        <v>12483.4</v>
      </c>
      <c r="Q498" s="188">
        <f t="shared" si="1"/>
        <v>0.0007249627505</v>
      </c>
    </row>
    <row r="499">
      <c r="M499" s="186">
        <v>45386.0</v>
      </c>
      <c r="N499" s="187">
        <v>12524.45</v>
      </c>
      <c r="O499" s="187">
        <v>12492.45</v>
      </c>
      <c r="Q499" s="188">
        <f t="shared" si="1"/>
        <v>0.002561547174</v>
      </c>
    </row>
    <row r="500">
      <c r="M500" s="186">
        <v>45387.0</v>
      </c>
      <c r="N500" s="187">
        <v>12551.0</v>
      </c>
      <c r="O500" s="187">
        <v>12524.45</v>
      </c>
      <c r="Q500" s="188">
        <f t="shared" si="1"/>
        <v>0.002119853566</v>
      </c>
    </row>
    <row r="501">
      <c r="M501" s="186">
        <v>45390.0</v>
      </c>
      <c r="N501" s="187">
        <v>12615.6</v>
      </c>
      <c r="O501" s="187">
        <v>12551.0</v>
      </c>
      <c r="Q501" s="188">
        <f t="shared" si="1"/>
        <v>0.005147000239</v>
      </c>
    </row>
    <row r="502">
      <c r="M502" s="186">
        <v>45391.0</v>
      </c>
      <c r="N502" s="187">
        <v>12595.6</v>
      </c>
      <c r="O502" s="187">
        <v>12615.6</v>
      </c>
      <c r="Q502" s="188">
        <f t="shared" si="1"/>
        <v>-0.001585338787</v>
      </c>
    </row>
    <row r="503">
      <c r="M503" s="192">
        <v>45392.0</v>
      </c>
      <c r="N503" s="187">
        <v>12671.8</v>
      </c>
      <c r="O503" s="187">
        <v>12595.6</v>
      </c>
      <c r="Q503" s="188">
        <f t="shared" si="1"/>
        <v>0.006049731652</v>
      </c>
    </row>
    <row r="504">
      <c r="M504" s="192">
        <v>45394.0</v>
      </c>
      <c r="N504" s="187">
        <v>12559.3</v>
      </c>
      <c r="O504" s="187">
        <v>12671.8</v>
      </c>
      <c r="Q504" s="188">
        <f t="shared" si="1"/>
        <v>-0.008877981029</v>
      </c>
    </row>
    <row r="505">
      <c r="M505" s="192">
        <v>45397.0</v>
      </c>
      <c r="N505" s="187">
        <v>12397.4</v>
      </c>
      <c r="O505" s="187">
        <v>12559.3</v>
      </c>
      <c r="Q505" s="188">
        <f t="shared" si="1"/>
        <v>-0.01289084583</v>
      </c>
    </row>
    <row r="506">
      <c r="M506" s="192">
        <v>45398.0</v>
      </c>
      <c r="N506" s="187">
        <v>12351.45</v>
      </c>
      <c r="O506" s="187">
        <v>12397.4</v>
      </c>
      <c r="Q506" s="188">
        <f t="shared" si="1"/>
        <v>-0.003706422314</v>
      </c>
    </row>
    <row r="507">
      <c r="M507" s="192">
        <v>45400.0</v>
      </c>
      <c r="N507" s="187">
        <v>12282.7</v>
      </c>
      <c r="O507" s="187">
        <v>12351.45</v>
      </c>
      <c r="Q507" s="188">
        <f t="shared" si="1"/>
        <v>-0.005566148104</v>
      </c>
    </row>
    <row r="508">
      <c r="M508" s="192">
        <v>45401.0</v>
      </c>
      <c r="N508" s="187">
        <v>12325.85</v>
      </c>
      <c r="O508" s="187">
        <v>12282.7</v>
      </c>
      <c r="Q508" s="188">
        <f t="shared" si="1"/>
        <v>0.00351307123</v>
      </c>
    </row>
    <row r="509">
      <c r="M509" s="192">
        <v>45404.0</v>
      </c>
      <c r="N509" s="187">
        <v>12441.4</v>
      </c>
      <c r="O509" s="187">
        <v>12325.85</v>
      </c>
      <c r="Q509" s="188">
        <f t="shared" si="1"/>
        <v>0.009374607025</v>
      </c>
    </row>
    <row r="510">
      <c r="M510" s="192">
        <v>45405.0</v>
      </c>
      <c r="N510" s="187">
        <v>12478.35</v>
      </c>
      <c r="O510" s="187">
        <v>12441.4</v>
      </c>
      <c r="Q510" s="188">
        <f t="shared" si="1"/>
        <v>0.002969922999</v>
      </c>
    </row>
    <row r="511">
      <c r="M511" s="192">
        <v>45406.0</v>
      </c>
      <c r="N511" s="187">
        <v>12516.55</v>
      </c>
      <c r="O511" s="187">
        <v>12478.35</v>
      </c>
      <c r="Q511" s="188">
        <f t="shared" si="1"/>
        <v>0.003061302175</v>
      </c>
    </row>
    <row r="512">
      <c r="M512" s="192">
        <v>45407.0</v>
      </c>
      <c r="N512" s="187">
        <v>12599.7</v>
      </c>
      <c r="O512" s="187">
        <v>12516.55</v>
      </c>
      <c r="Q512" s="188">
        <f t="shared" si="1"/>
        <v>0.006643204397</v>
      </c>
    </row>
    <row r="513">
      <c r="M513" s="192">
        <v>45408.0</v>
      </c>
      <c r="N513" s="187">
        <v>12570.3</v>
      </c>
      <c r="O513" s="187">
        <v>12599.7</v>
      </c>
      <c r="Q513" s="188">
        <f t="shared" si="1"/>
        <v>-0.00233338889</v>
      </c>
    </row>
    <row r="514">
      <c r="M514" s="192">
        <v>45411.0</v>
      </c>
      <c r="N514" s="187">
        <v>12675.2</v>
      </c>
      <c r="O514" s="187">
        <v>12570.3</v>
      </c>
      <c r="Q514" s="188">
        <f t="shared" si="1"/>
        <v>0.008345067341</v>
      </c>
    </row>
    <row r="515">
      <c r="M515" s="192">
        <v>45412.0</v>
      </c>
      <c r="N515" s="187">
        <v>12673.15</v>
      </c>
      <c r="O515" s="187">
        <v>12675.2</v>
      </c>
      <c r="Q515" s="188">
        <f t="shared" si="1"/>
        <v>-0.0001617331482</v>
      </c>
    </row>
    <row r="516">
      <c r="M516" s="197">
        <v>45414.0</v>
      </c>
      <c r="N516" s="187">
        <v>12730.55</v>
      </c>
      <c r="O516" s="187">
        <v>12673.15</v>
      </c>
      <c r="Q516" s="188">
        <f t="shared" si="1"/>
        <v>0.004529260681</v>
      </c>
    </row>
    <row r="517">
      <c r="M517" s="197">
        <v>45415.0</v>
      </c>
      <c r="N517" s="187">
        <v>12651.15</v>
      </c>
      <c r="O517" s="187">
        <v>12730.55</v>
      </c>
      <c r="Q517" s="188">
        <f t="shared" si="1"/>
        <v>-0.00623696541</v>
      </c>
    </row>
    <row r="518">
      <c r="M518" s="197">
        <v>45418.0</v>
      </c>
      <c r="N518" s="187">
        <v>12601.75</v>
      </c>
      <c r="O518" s="187">
        <v>12651.15</v>
      </c>
      <c r="Q518" s="188">
        <f t="shared" si="1"/>
        <v>-0.00390478336</v>
      </c>
    </row>
    <row r="519">
      <c r="M519" s="197">
        <v>45419.0</v>
      </c>
      <c r="N519" s="187">
        <v>12475.0</v>
      </c>
      <c r="O519" s="187">
        <v>12601.75</v>
      </c>
      <c r="Q519" s="188">
        <f t="shared" si="1"/>
        <v>-0.01005812685</v>
      </c>
    </row>
    <row r="520">
      <c r="M520" s="197">
        <v>45420.0</v>
      </c>
      <c r="N520" s="187">
        <v>12517.4</v>
      </c>
      <c r="O520" s="187">
        <v>12475.0</v>
      </c>
      <c r="Q520" s="188">
        <f t="shared" si="1"/>
        <v>0.003398797595</v>
      </c>
    </row>
    <row r="521">
      <c r="M521" s="197">
        <v>45421.0</v>
      </c>
      <c r="N521" s="187">
        <v>12309.9</v>
      </c>
      <c r="O521" s="187">
        <v>12517.4</v>
      </c>
      <c r="Q521" s="188">
        <f t="shared" si="1"/>
        <v>-0.01657692492</v>
      </c>
    </row>
    <row r="522">
      <c r="M522" s="203">
        <v>45422.0</v>
      </c>
      <c r="N522" s="187">
        <v>12380.55</v>
      </c>
      <c r="O522" s="187">
        <v>12309.9</v>
      </c>
      <c r="Q522" s="188">
        <f t="shared" si="1"/>
        <v>0.005739283016</v>
      </c>
    </row>
    <row r="523">
      <c r="M523" s="203">
        <v>45425.0</v>
      </c>
      <c r="N523" s="187">
        <v>12410.0</v>
      </c>
      <c r="O523" s="187">
        <v>12380.55</v>
      </c>
      <c r="Q523" s="188">
        <f t="shared" si="1"/>
        <v>0.002378731155</v>
      </c>
    </row>
    <row r="524">
      <c r="M524" s="203">
        <v>45426.0</v>
      </c>
      <c r="N524" s="187">
        <v>12502.85</v>
      </c>
      <c r="O524" s="187">
        <v>12410.0</v>
      </c>
      <c r="Q524" s="188">
        <f t="shared" si="1"/>
        <v>0.00748186946</v>
      </c>
    </row>
    <row r="525">
      <c r="M525" s="203">
        <v>45427.0</v>
      </c>
      <c r="N525" s="187">
        <v>12528.65</v>
      </c>
      <c r="O525" s="187">
        <v>12502.85</v>
      </c>
      <c r="Q525" s="188">
        <f t="shared" si="1"/>
        <v>0.002063529515</v>
      </c>
    </row>
    <row r="526">
      <c r="M526" s="203">
        <v>45428.0</v>
      </c>
      <c r="N526" s="187">
        <v>12641.7</v>
      </c>
      <c r="O526" s="187">
        <v>12528.65</v>
      </c>
      <c r="Q526" s="188">
        <f t="shared" si="1"/>
        <v>0.009023318554</v>
      </c>
    </row>
    <row r="527">
      <c r="M527" s="203">
        <v>45429.0</v>
      </c>
      <c r="N527" s="187">
        <v>12705.15</v>
      </c>
      <c r="O527" s="187">
        <v>12641.7</v>
      </c>
      <c r="Q527" s="188">
        <f t="shared" si="1"/>
        <v>0.005019103443</v>
      </c>
    </row>
    <row r="528">
      <c r="M528" s="203">
        <v>45430.0</v>
      </c>
      <c r="N528" s="187">
        <v>12744.75</v>
      </c>
      <c r="O528" s="187">
        <v>12705.15</v>
      </c>
      <c r="Q528" s="188">
        <f t="shared" si="1"/>
        <v>0.003116846318</v>
      </c>
    </row>
    <row r="529">
      <c r="M529" s="203">
        <v>45433.0</v>
      </c>
      <c r="N529" s="187">
        <v>12780.45</v>
      </c>
      <c r="O529" s="187">
        <v>12744.75</v>
      </c>
      <c r="Q529" s="188">
        <f t="shared" si="1"/>
        <v>0.002801153416</v>
      </c>
    </row>
    <row r="530">
      <c r="M530" s="203">
        <v>45434.0</v>
      </c>
      <c r="N530" s="187">
        <v>12813.5</v>
      </c>
      <c r="O530" s="187">
        <v>12780.45</v>
      </c>
      <c r="Q530" s="188">
        <f t="shared" si="1"/>
        <v>0.002585980932</v>
      </c>
    </row>
    <row r="531">
      <c r="M531" s="203">
        <v>45435.0</v>
      </c>
      <c r="N531" s="187">
        <v>12982.4</v>
      </c>
      <c r="O531" s="187">
        <v>12813.5</v>
      </c>
      <c r="Q531" s="188">
        <f t="shared" si="1"/>
        <v>0.01318141023</v>
      </c>
    </row>
    <row r="532">
      <c r="M532" s="203">
        <v>45436.0</v>
      </c>
      <c r="N532" s="187">
        <v>12981.65</v>
      </c>
      <c r="O532" s="187">
        <v>12982.4</v>
      </c>
      <c r="Q532" s="188">
        <f t="shared" si="1"/>
        <v>-0.00005777052009</v>
      </c>
    </row>
    <row r="533">
      <c r="M533" s="203">
        <v>45439.0</v>
      </c>
      <c r="N533" s="187">
        <v>12985.4</v>
      </c>
      <c r="O533" s="187">
        <v>12981.65</v>
      </c>
      <c r="Q533" s="188">
        <f t="shared" si="1"/>
        <v>0.0002888692886</v>
      </c>
    </row>
    <row r="534">
      <c r="M534" s="203">
        <v>45440.0</v>
      </c>
      <c r="N534" s="187">
        <v>12928.1</v>
      </c>
      <c r="O534" s="187">
        <v>12985.4</v>
      </c>
      <c r="Q534" s="188">
        <f t="shared" si="1"/>
        <v>-0.004412648051</v>
      </c>
    </row>
    <row r="535">
      <c r="M535" s="203">
        <v>45441.0</v>
      </c>
      <c r="N535" s="187">
        <v>12836.45</v>
      </c>
      <c r="O535" s="187">
        <v>12928.1</v>
      </c>
      <c r="Q535" s="188">
        <f t="shared" si="1"/>
        <v>-0.007089208778</v>
      </c>
    </row>
    <row r="536">
      <c r="M536" s="203">
        <v>45442.0</v>
      </c>
      <c r="N536" s="187">
        <v>12708.3</v>
      </c>
      <c r="O536" s="187">
        <v>12836.45</v>
      </c>
      <c r="Q536" s="188">
        <f t="shared" si="1"/>
        <v>-0.009983289772</v>
      </c>
    </row>
    <row r="537">
      <c r="M537" s="203">
        <v>45443.0</v>
      </c>
      <c r="N537" s="187">
        <v>12742.8</v>
      </c>
      <c r="O537" s="187">
        <v>12708.3</v>
      </c>
      <c r="Q537" s="188">
        <f t="shared" si="1"/>
        <v>0.002714761219</v>
      </c>
    </row>
    <row r="538">
      <c r="M538" s="186">
        <v>45446.0</v>
      </c>
      <c r="N538" s="187">
        <v>13183.85</v>
      </c>
      <c r="O538" s="187">
        <v>12742.8</v>
      </c>
      <c r="Q538" s="188">
        <f t="shared" si="1"/>
        <v>0.03461170229</v>
      </c>
    </row>
    <row r="539">
      <c r="M539" s="186">
        <v>45447.0</v>
      </c>
      <c r="N539" s="187">
        <v>12288.15</v>
      </c>
      <c r="O539" s="187">
        <v>13183.85</v>
      </c>
      <c r="Q539" s="188">
        <f t="shared" si="1"/>
        <v>-0.06793918317</v>
      </c>
    </row>
    <row r="540">
      <c r="M540" s="186">
        <v>45448.0</v>
      </c>
      <c r="N540" s="187">
        <v>12740.6</v>
      </c>
      <c r="O540" s="187">
        <v>12288.15</v>
      </c>
      <c r="Q540" s="188">
        <f t="shared" si="1"/>
        <v>0.0368200258</v>
      </c>
    </row>
    <row r="541">
      <c r="M541" s="186">
        <v>45449.0</v>
      </c>
      <c r="N541" s="187">
        <v>12902.2</v>
      </c>
      <c r="O541" s="187">
        <v>12740.6</v>
      </c>
      <c r="Q541" s="188">
        <f t="shared" si="1"/>
        <v>0.01268386104</v>
      </c>
    </row>
    <row r="542">
      <c r="M542" s="186">
        <v>45450.0</v>
      </c>
      <c r="N542" s="187">
        <v>13142.0</v>
      </c>
      <c r="O542" s="187">
        <v>12902.2</v>
      </c>
      <c r="Q542" s="188">
        <f t="shared" si="1"/>
        <v>0.01858597759</v>
      </c>
    </row>
    <row r="543">
      <c r="M543" s="192">
        <v>45453.0</v>
      </c>
      <c r="N543" s="187">
        <v>13145.95</v>
      </c>
      <c r="O543" s="187">
        <v>13142.0</v>
      </c>
      <c r="Q543" s="188">
        <f t="shared" si="1"/>
        <v>0.0003005630802</v>
      </c>
    </row>
    <row r="544">
      <c r="M544" s="192">
        <v>45454.0</v>
      </c>
      <c r="N544" s="187">
        <v>13162.7</v>
      </c>
      <c r="O544" s="187">
        <v>13145.95</v>
      </c>
      <c r="Q544" s="188">
        <f t="shared" si="1"/>
        <v>0.001274156679</v>
      </c>
    </row>
    <row r="545">
      <c r="M545" s="192">
        <v>45455.0</v>
      </c>
      <c r="N545" s="187">
        <v>13219.95</v>
      </c>
      <c r="O545" s="187">
        <v>13162.7</v>
      </c>
      <c r="Q545" s="188">
        <f t="shared" si="1"/>
        <v>0.004349411595</v>
      </c>
    </row>
    <row r="546">
      <c r="M546" s="192">
        <v>45456.0</v>
      </c>
      <c r="N546" s="187">
        <v>13282.5</v>
      </c>
      <c r="O546" s="187">
        <v>13219.95</v>
      </c>
      <c r="Q546" s="188">
        <f t="shared" si="1"/>
        <v>0.004731485369</v>
      </c>
    </row>
    <row r="547">
      <c r="M547" s="192">
        <v>45457.0</v>
      </c>
      <c r="N547" s="187">
        <v>13360.6</v>
      </c>
      <c r="O547" s="187">
        <v>13282.5</v>
      </c>
      <c r="Q547" s="188">
        <f t="shared" si="1"/>
        <v>0.005879917184</v>
      </c>
    </row>
    <row r="548">
      <c r="M548" s="192">
        <v>45461.0</v>
      </c>
      <c r="N548" s="187">
        <v>13421.9</v>
      </c>
      <c r="O548" s="187">
        <v>13360.6</v>
      </c>
      <c r="Q548" s="188">
        <f t="shared" si="1"/>
        <v>0.0045881173</v>
      </c>
    </row>
    <row r="549">
      <c r="M549" s="192">
        <v>45462.0</v>
      </c>
      <c r="N549" s="187">
        <v>13362.8</v>
      </c>
      <c r="O549" s="187">
        <v>13421.9</v>
      </c>
      <c r="Q549" s="188">
        <f t="shared" si="1"/>
        <v>-0.004403251403</v>
      </c>
    </row>
    <row r="550">
      <c r="M550" s="192">
        <v>45463.0</v>
      </c>
      <c r="N550" s="187">
        <v>13405.9</v>
      </c>
      <c r="O550" s="187">
        <v>13362.8</v>
      </c>
      <c r="Q550" s="188">
        <f t="shared" si="1"/>
        <v>0.003225371928</v>
      </c>
    </row>
    <row r="551">
      <c r="M551" s="192">
        <v>45464.0</v>
      </c>
      <c r="N551" s="187">
        <v>13361.1</v>
      </c>
      <c r="O551" s="187">
        <v>13405.9</v>
      </c>
      <c r="Q551" s="188">
        <f t="shared" si="1"/>
        <v>-0.003341812187</v>
      </c>
    </row>
    <row r="552">
      <c r="M552" s="192">
        <v>45467.0</v>
      </c>
      <c r="N552" s="187">
        <v>13397.05</v>
      </c>
      <c r="O552" s="187">
        <v>13361.1</v>
      </c>
      <c r="Q552" s="188">
        <f t="shared" si="1"/>
        <v>0.002690646728</v>
      </c>
    </row>
    <row r="553">
      <c r="M553" s="192">
        <v>45468.0</v>
      </c>
      <c r="N553" s="187">
        <v>13451.05</v>
      </c>
      <c r="O553" s="187">
        <v>13397.05</v>
      </c>
      <c r="Q553" s="188">
        <f t="shared" si="1"/>
        <v>0.00403073811</v>
      </c>
    </row>
    <row r="554">
      <c r="M554" s="192">
        <v>45469.0</v>
      </c>
      <c r="N554" s="187">
        <v>13496.15</v>
      </c>
      <c r="O554" s="187">
        <v>13451.05</v>
      </c>
      <c r="Q554" s="188">
        <f t="shared" si="1"/>
        <v>0.003352898101</v>
      </c>
    </row>
    <row r="555">
      <c r="M555" s="192">
        <v>45470.0</v>
      </c>
      <c r="N555" s="187">
        <v>13575.8</v>
      </c>
      <c r="O555" s="187">
        <v>13496.15</v>
      </c>
      <c r="Q555" s="188">
        <f t="shared" si="1"/>
        <v>0.005901683073</v>
      </c>
    </row>
    <row r="556">
      <c r="M556" s="192">
        <v>45471.0</v>
      </c>
      <c r="N556" s="187">
        <v>13579.25</v>
      </c>
      <c r="O556" s="187">
        <v>13575.8</v>
      </c>
      <c r="Q556" s="188">
        <f t="shared" si="1"/>
        <v>0.0002541286701</v>
      </c>
    </row>
    <row r="557">
      <c r="M557" s="186">
        <v>45474.0</v>
      </c>
      <c r="N557" s="187">
        <v>13668.7</v>
      </c>
      <c r="O557" s="187">
        <v>13579.25</v>
      </c>
      <c r="Q557" s="188">
        <f t="shared" si="1"/>
        <v>0.006587256292</v>
      </c>
    </row>
    <row r="558">
      <c r="M558" s="186">
        <v>45475.0</v>
      </c>
      <c r="N558" s="187">
        <v>13635.3</v>
      </c>
      <c r="O558" s="187">
        <v>13668.7</v>
      </c>
      <c r="Q558" s="188">
        <f t="shared" si="1"/>
        <v>-0.002443538888</v>
      </c>
    </row>
    <row r="559">
      <c r="M559" s="186">
        <v>45476.0</v>
      </c>
      <c r="N559" s="187">
        <v>13737.6</v>
      </c>
      <c r="O559" s="187">
        <v>13635.3</v>
      </c>
      <c r="Q559" s="188">
        <f t="shared" si="1"/>
        <v>0.007502585202</v>
      </c>
    </row>
    <row r="560">
      <c r="M560" s="186">
        <v>45477.0</v>
      </c>
      <c r="N560" s="187">
        <v>13766.6</v>
      </c>
      <c r="O560" s="187">
        <v>13737.6</v>
      </c>
      <c r="Q560" s="188">
        <f t="shared" si="1"/>
        <v>0.002110994642</v>
      </c>
    </row>
    <row r="561">
      <c r="M561" s="186">
        <v>45478.0</v>
      </c>
      <c r="N561" s="187">
        <v>13807.25</v>
      </c>
      <c r="O561" s="187">
        <v>13766.6</v>
      </c>
      <c r="Q561" s="188">
        <f t="shared" si="1"/>
        <v>0.002952798803</v>
      </c>
    </row>
    <row r="562">
      <c r="M562" s="186">
        <v>45481.0</v>
      </c>
      <c r="N562" s="187">
        <v>13800.4</v>
      </c>
      <c r="O562" s="187">
        <v>13807.25</v>
      </c>
      <c r="Q562" s="188">
        <f t="shared" si="1"/>
        <v>-0.0004961161709</v>
      </c>
    </row>
    <row r="563">
      <c r="M563" s="186">
        <v>45482.0</v>
      </c>
      <c r="N563" s="187">
        <v>13863.2</v>
      </c>
      <c r="O563" s="187">
        <v>13800.4</v>
      </c>
      <c r="Q563" s="188">
        <f t="shared" si="1"/>
        <v>0.004550592736</v>
      </c>
    </row>
    <row r="564">
      <c r="M564" s="192">
        <v>45483.0</v>
      </c>
      <c r="N564" s="187">
        <v>13816.35</v>
      </c>
      <c r="O564" s="187">
        <v>13863.2</v>
      </c>
      <c r="Q564" s="188">
        <f t="shared" si="1"/>
        <v>-0.003379450632</v>
      </c>
    </row>
    <row r="565">
      <c r="M565" s="192">
        <v>45484.0</v>
      </c>
      <c r="N565" s="187">
        <v>13828.9</v>
      </c>
      <c r="O565" s="187">
        <v>13816.35</v>
      </c>
      <c r="Q565" s="188">
        <f t="shared" si="1"/>
        <v>0.0009083440996</v>
      </c>
    </row>
    <row r="566">
      <c r="M566" s="192">
        <v>45485.0</v>
      </c>
      <c r="N566" s="187">
        <v>13895.3</v>
      </c>
      <c r="O566" s="187">
        <v>13828.9</v>
      </c>
      <c r="Q566" s="188">
        <f t="shared" si="1"/>
        <v>0.004801538806</v>
      </c>
    </row>
    <row r="567">
      <c r="M567" s="192">
        <v>45488.0</v>
      </c>
      <c r="N567" s="187">
        <v>13968.65</v>
      </c>
      <c r="O567" s="187">
        <v>13895.3</v>
      </c>
      <c r="Q567" s="188">
        <f t="shared" si="1"/>
        <v>0.005278763323</v>
      </c>
    </row>
    <row r="568">
      <c r="M568" s="192">
        <v>45489.0</v>
      </c>
      <c r="N568" s="187">
        <v>13960.9</v>
      </c>
      <c r="O568" s="187">
        <v>13968.65</v>
      </c>
      <c r="Q568" s="188">
        <f t="shared" si="1"/>
        <v>-0.0005548138152</v>
      </c>
    </row>
    <row r="569">
      <c r="M569" s="192">
        <v>45491.0</v>
      </c>
      <c r="N569" s="187">
        <v>13987.4</v>
      </c>
      <c r="O569" s="187">
        <v>13960.9</v>
      </c>
      <c r="Q569" s="188">
        <f t="shared" si="1"/>
        <v>0.001898158428</v>
      </c>
    </row>
    <row r="570">
      <c r="M570" s="192">
        <v>45492.0</v>
      </c>
      <c r="N570" s="187">
        <v>13788.15</v>
      </c>
      <c r="O570" s="187">
        <v>13987.4</v>
      </c>
      <c r="Q570" s="188">
        <f t="shared" si="1"/>
        <v>-0.01424496332</v>
      </c>
    </row>
    <row r="571">
      <c r="M571" s="192">
        <v>45495.0</v>
      </c>
      <c r="N571" s="187">
        <v>13834.2</v>
      </c>
      <c r="O571" s="187">
        <v>13788.15</v>
      </c>
      <c r="Q571" s="188">
        <f t="shared" si="1"/>
        <v>0.003339824414</v>
      </c>
    </row>
    <row r="572">
      <c r="M572" s="192">
        <v>45496.0</v>
      </c>
      <c r="N572" s="187">
        <v>13788.65</v>
      </c>
      <c r="O572" s="187">
        <v>13834.2</v>
      </c>
      <c r="Q572" s="188">
        <f t="shared" si="1"/>
        <v>-0.003292564803</v>
      </c>
    </row>
    <row r="573">
      <c r="M573" s="192">
        <v>45497.0</v>
      </c>
      <c r="N573" s="187">
        <v>13797.75</v>
      </c>
      <c r="O573" s="187">
        <v>13788.65</v>
      </c>
      <c r="Q573" s="188">
        <f t="shared" si="1"/>
        <v>0.0006599630856</v>
      </c>
    </row>
    <row r="574">
      <c r="M574" s="192">
        <v>45498.0</v>
      </c>
      <c r="N574" s="187">
        <v>13801.0</v>
      </c>
      <c r="O574" s="187">
        <v>13797.75</v>
      </c>
      <c r="Q574" s="188">
        <f t="shared" si="1"/>
        <v>0.0002355456506</v>
      </c>
    </row>
    <row r="575">
      <c r="M575" s="192">
        <v>45499.0</v>
      </c>
      <c r="N575" s="187">
        <v>14039.2</v>
      </c>
      <c r="O575" s="187">
        <v>13801.0</v>
      </c>
      <c r="Q575" s="188">
        <f t="shared" si="1"/>
        <v>0.01725961887</v>
      </c>
    </row>
    <row r="576">
      <c r="M576" s="192">
        <v>45502.0</v>
      </c>
      <c r="N576" s="187">
        <v>14089.8</v>
      </c>
      <c r="O576" s="187">
        <v>14039.2</v>
      </c>
      <c r="Q576" s="188">
        <f t="shared" si="1"/>
        <v>0.003604193971</v>
      </c>
    </row>
    <row r="577">
      <c r="M577" s="192">
        <v>45503.0</v>
      </c>
      <c r="N577" s="187">
        <v>14105.55</v>
      </c>
      <c r="O577" s="187">
        <v>14089.8</v>
      </c>
      <c r="Q577" s="188">
        <f t="shared" si="1"/>
        <v>0.00111782992</v>
      </c>
    </row>
    <row r="578">
      <c r="M578" s="192">
        <v>45504.0</v>
      </c>
      <c r="N578" s="187">
        <v>14170.8</v>
      </c>
      <c r="O578" s="187">
        <v>14105.55</v>
      </c>
      <c r="Q578" s="188">
        <f t="shared" si="1"/>
        <v>0.004625838766</v>
      </c>
    </row>
    <row r="579">
      <c r="M579" s="186">
        <v>45505.0</v>
      </c>
      <c r="N579" s="187">
        <v>14165.8</v>
      </c>
      <c r="O579" s="187">
        <v>14170.8</v>
      </c>
      <c r="Q579" s="188">
        <f t="shared" si="1"/>
        <v>-0.0003528382307</v>
      </c>
    </row>
    <row r="580">
      <c r="M580" s="186">
        <v>45506.0</v>
      </c>
      <c r="N580" s="187">
        <v>14012.9</v>
      </c>
      <c r="O580" s="187">
        <v>14165.8</v>
      </c>
      <c r="Q580" s="188">
        <f t="shared" si="1"/>
        <v>-0.01079360149</v>
      </c>
    </row>
    <row r="581">
      <c r="M581" s="186">
        <v>45509.0</v>
      </c>
      <c r="N581" s="187">
        <v>13600.2</v>
      </c>
      <c r="O581" s="187">
        <v>14012.9</v>
      </c>
      <c r="Q581" s="188">
        <f t="shared" si="1"/>
        <v>-0.02945143404</v>
      </c>
    </row>
    <row r="582">
      <c r="M582" s="186">
        <v>45510.0</v>
      </c>
      <c r="N582" s="187">
        <v>13540.15</v>
      </c>
      <c r="O582" s="187">
        <v>13600.2</v>
      </c>
      <c r="Q582" s="188">
        <f t="shared" si="1"/>
        <v>-0.004415376244</v>
      </c>
    </row>
    <row r="583">
      <c r="M583" s="186">
        <v>45511.0</v>
      </c>
      <c r="N583" s="187">
        <v>13779.45</v>
      </c>
      <c r="O583" s="187">
        <v>13540.15</v>
      </c>
      <c r="Q583" s="188">
        <f t="shared" si="1"/>
        <v>0.01767336403</v>
      </c>
    </row>
    <row r="584">
      <c r="M584" s="186">
        <v>45512.0</v>
      </c>
      <c r="N584" s="187">
        <v>13686.4</v>
      </c>
      <c r="O584" s="187">
        <v>13779.45</v>
      </c>
      <c r="Q584" s="188">
        <f t="shared" si="1"/>
        <v>-0.006752809437</v>
      </c>
    </row>
    <row r="585">
      <c r="M585" s="186">
        <v>45513.0</v>
      </c>
      <c r="N585" s="187">
        <v>13826.05</v>
      </c>
      <c r="O585" s="187">
        <v>13686.4</v>
      </c>
      <c r="Q585" s="188">
        <f t="shared" si="1"/>
        <v>0.01020355974</v>
      </c>
    </row>
    <row r="586">
      <c r="M586" s="192">
        <v>45516.0</v>
      </c>
      <c r="N586" s="187">
        <v>13814.3</v>
      </c>
      <c r="O586" s="187">
        <v>13826.05</v>
      </c>
      <c r="Q586" s="188">
        <f t="shared" si="1"/>
        <v>-0.0008498450389</v>
      </c>
    </row>
    <row r="587">
      <c r="M587" s="192">
        <v>45517.0</v>
      </c>
      <c r="N587" s="187">
        <v>13691.5</v>
      </c>
      <c r="O587" s="187">
        <v>13814.3</v>
      </c>
      <c r="Q587" s="188">
        <f t="shared" si="1"/>
        <v>-0.008889339308</v>
      </c>
    </row>
    <row r="588">
      <c r="M588" s="192">
        <v>45518.0</v>
      </c>
      <c r="N588" s="187">
        <v>13680.85</v>
      </c>
      <c r="O588" s="187">
        <v>13691.5</v>
      </c>
      <c r="Q588" s="188">
        <f t="shared" si="1"/>
        <v>-0.0007778548735</v>
      </c>
    </row>
    <row r="589">
      <c r="M589" s="192">
        <v>45520.0</v>
      </c>
      <c r="N589" s="187">
        <v>13914.7</v>
      </c>
      <c r="O589" s="187">
        <v>13680.85</v>
      </c>
      <c r="Q589" s="188">
        <f t="shared" si="1"/>
        <v>0.01709323617</v>
      </c>
    </row>
    <row r="590">
      <c r="M590" s="192">
        <v>45523.0</v>
      </c>
      <c r="N590" s="187">
        <v>13946.05</v>
      </c>
      <c r="O590" s="187">
        <v>13914.7</v>
      </c>
      <c r="Q590" s="188">
        <f t="shared" si="1"/>
        <v>0.002253013001</v>
      </c>
    </row>
    <row r="591">
      <c r="M591" s="192">
        <v>45524.0</v>
      </c>
      <c r="N591" s="187">
        <v>14030.8</v>
      </c>
      <c r="O591" s="187">
        <v>13946.05</v>
      </c>
      <c r="Q591" s="188">
        <f t="shared" si="1"/>
        <v>0.006076989542</v>
      </c>
    </row>
    <row r="592">
      <c r="M592" s="192">
        <v>45525.0</v>
      </c>
      <c r="N592" s="187">
        <v>14070.8</v>
      </c>
      <c r="O592" s="187">
        <v>14030.8</v>
      </c>
      <c r="Q592" s="188">
        <f t="shared" si="1"/>
        <v>0.002850870941</v>
      </c>
    </row>
    <row r="593">
      <c r="M593" s="192">
        <v>45526.0</v>
      </c>
      <c r="N593" s="187">
        <v>14112.6</v>
      </c>
      <c r="O593" s="187">
        <v>14070.8</v>
      </c>
      <c r="Q593" s="188">
        <f t="shared" si="1"/>
        <v>0.002970691077</v>
      </c>
    </row>
    <row r="594">
      <c r="M594" s="192">
        <v>45527.0</v>
      </c>
      <c r="N594" s="187">
        <v>14099.2</v>
      </c>
      <c r="O594" s="187">
        <v>14112.6</v>
      </c>
      <c r="Q594" s="188">
        <f t="shared" si="1"/>
        <v>-0.0009495061151</v>
      </c>
    </row>
    <row r="595">
      <c r="M595" s="192">
        <v>45530.0</v>
      </c>
      <c r="N595" s="187">
        <v>14191.75</v>
      </c>
      <c r="O595" s="187">
        <v>14099.2</v>
      </c>
      <c r="Q595" s="188">
        <f t="shared" si="1"/>
        <v>0.006564202224</v>
      </c>
    </row>
    <row r="596">
      <c r="M596" s="192">
        <v>45531.0</v>
      </c>
      <c r="N596" s="187">
        <v>14206.0</v>
      </c>
      <c r="O596" s="187">
        <v>14191.75</v>
      </c>
      <c r="Q596" s="188">
        <f t="shared" si="1"/>
        <v>0.001004104497</v>
      </c>
    </row>
    <row r="597">
      <c r="M597" s="192">
        <v>45532.0</v>
      </c>
      <c r="N597" s="187">
        <v>14218.45</v>
      </c>
      <c r="O597" s="187">
        <v>14206.0</v>
      </c>
      <c r="Q597" s="188">
        <f t="shared" si="1"/>
        <v>0.0008763902576</v>
      </c>
    </row>
    <row r="598">
      <c r="M598" s="192">
        <v>45533.0</v>
      </c>
      <c r="N598" s="187">
        <v>14240.95</v>
      </c>
      <c r="O598" s="187">
        <v>14218.45</v>
      </c>
      <c r="Q598" s="188">
        <f t="shared" si="1"/>
        <v>0.00158245097</v>
      </c>
    </row>
    <row r="599">
      <c r="M599" s="192">
        <v>45534.0</v>
      </c>
      <c r="N599" s="187">
        <v>14295.7</v>
      </c>
      <c r="O599" s="187">
        <v>14240.95</v>
      </c>
      <c r="Q599" s="188">
        <f t="shared" si="1"/>
        <v>0.003844546888</v>
      </c>
    </row>
    <row r="600">
      <c r="M600" s="184" t="s">
        <v>254</v>
      </c>
      <c r="N600" s="187">
        <v>14318.05</v>
      </c>
      <c r="O600" s="187">
        <v>14295.7</v>
      </c>
      <c r="Q600" s="188">
        <f t="shared" si="1"/>
        <v>0.001563407178</v>
      </c>
    </row>
    <row r="601">
      <c r="M601" s="184" t="s">
        <v>255</v>
      </c>
      <c r="N601" s="187">
        <v>14326.8</v>
      </c>
      <c r="O601" s="187">
        <v>14318.05</v>
      </c>
      <c r="Q601" s="188">
        <f t="shared" si="1"/>
        <v>0.0006111167373</v>
      </c>
    </row>
    <row r="602">
      <c r="M602" s="184" t="s">
        <v>256</v>
      </c>
      <c r="N602" s="187">
        <v>14293.85</v>
      </c>
      <c r="O602" s="187">
        <v>14326.8</v>
      </c>
      <c r="Q602" s="188">
        <f t="shared" si="1"/>
        <v>-0.002299885529</v>
      </c>
    </row>
    <row r="603">
      <c r="M603" s="184" t="s">
        <v>257</v>
      </c>
      <c r="N603" s="187">
        <v>14286.0</v>
      </c>
      <c r="O603" s="187">
        <v>14293.85</v>
      </c>
      <c r="Q603" s="188">
        <f t="shared" si="1"/>
        <v>-0.0005491872379</v>
      </c>
    </row>
    <row r="604">
      <c r="M604" s="184" t="s">
        <v>258</v>
      </c>
      <c r="N604" s="187">
        <v>14107.4</v>
      </c>
      <c r="O604" s="187">
        <v>14286.0</v>
      </c>
      <c r="Q604" s="188">
        <f t="shared" si="1"/>
        <v>-0.01250174997</v>
      </c>
    </row>
    <row r="605">
      <c r="M605" s="184" t="s">
        <v>259</v>
      </c>
      <c r="N605" s="187">
        <v>14139.0</v>
      </c>
      <c r="O605" s="187">
        <v>14107.4</v>
      </c>
      <c r="Q605" s="188">
        <f t="shared" si="1"/>
        <v>0.00223995917</v>
      </c>
    </row>
    <row r="606">
      <c r="M606" s="184" t="s">
        <v>260</v>
      </c>
      <c r="N606" s="187">
        <v>14213.5</v>
      </c>
      <c r="O606" s="187">
        <v>14139.0</v>
      </c>
      <c r="Q606" s="188">
        <f t="shared" si="1"/>
        <v>0.005269113799</v>
      </c>
    </row>
    <row r="607">
      <c r="M607" s="184" t="s">
        <v>261</v>
      </c>
      <c r="N607" s="187">
        <v>14151.5</v>
      </c>
      <c r="O607" s="187">
        <v>14213.5</v>
      </c>
      <c r="Q607" s="188">
        <f t="shared" si="1"/>
        <v>-0.004362050164</v>
      </c>
    </row>
    <row r="608">
      <c r="M608" s="184" t="s">
        <v>262</v>
      </c>
      <c r="N608" s="187">
        <v>14394.65</v>
      </c>
      <c r="O608" s="187">
        <v>14151.5</v>
      </c>
      <c r="Q608" s="188">
        <f t="shared" si="1"/>
        <v>0.01718192418</v>
      </c>
    </row>
    <row r="609">
      <c r="M609" s="184" t="s">
        <v>263</v>
      </c>
      <c r="N609" s="187">
        <v>14391.4</v>
      </c>
      <c r="O609" s="187">
        <v>14394.65</v>
      </c>
      <c r="Q609" s="188">
        <f t="shared" si="1"/>
        <v>-0.0002257783274</v>
      </c>
    </row>
    <row r="610">
      <c r="M610" s="184" t="s">
        <v>264</v>
      </c>
      <c r="N610" s="187">
        <v>14415.5</v>
      </c>
      <c r="O610" s="187">
        <v>14391.4</v>
      </c>
      <c r="Q610" s="188">
        <f t="shared" si="1"/>
        <v>0.001674611226</v>
      </c>
    </row>
    <row r="611">
      <c r="M611" s="184" t="s">
        <v>265</v>
      </c>
      <c r="N611" s="187">
        <v>14420.55</v>
      </c>
      <c r="O611" s="187">
        <v>14415.5</v>
      </c>
      <c r="Q611" s="188">
        <f t="shared" si="1"/>
        <v>0.0003503173667</v>
      </c>
    </row>
    <row r="612">
      <c r="M612" s="184" t="s">
        <v>266</v>
      </c>
      <c r="N612" s="187">
        <v>14380.45</v>
      </c>
      <c r="O612" s="187">
        <v>14420.55</v>
      </c>
      <c r="Q612" s="188">
        <f t="shared" si="1"/>
        <v>-0.002780753855</v>
      </c>
    </row>
    <row r="613">
      <c r="M613" s="184" t="s">
        <v>267</v>
      </c>
      <c r="N613" s="187">
        <v>14367.0</v>
      </c>
      <c r="O613" s="187">
        <v>14380.45</v>
      </c>
      <c r="Q613" s="188">
        <f t="shared" si="1"/>
        <v>-0.0009352975741</v>
      </c>
    </row>
    <row r="614">
      <c r="M614" s="184" t="s">
        <v>268</v>
      </c>
      <c r="N614" s="187">
        <v>14580.9</v>
      </c>
      <c r="O614" s="187">
        <v>14367.0</v>
      </c>
      <c r="Q614" s="188">
        <f t="shared" si="1"/>
        <v>0.01488828565</v>
      </c>
    </row>
    <row r="615">
      <c r="M615" s="184" t="s">
        <v>269</v>
      </c>
      <c r="N615" s="187">
        <v>14693.2</v>
      </c>
      <c r="O615" s="187">
        <v>14580.9</v>
      </c>
      <c r="Q615" s="188">
        <f t="shared" si="1"/>
        <v>0.007701856538</v>
      </c>
    </row>
    <row r="616">
      <c r="M616" s="184" t="s">
        <v>270</v>
      </c>
      <c r="N616" s="187">
        <v>14700.15</v>
      </c>
      <c r="O616" s="187">
        <v>14693.2</v>
      </c>
      <c r="Q616" s="188">
        <f t="shared" si="1"/>
        <v>0.000473007922</v>
      </c>
    </row>
    <row r="617">
      <c r="M617" s="184" t="s">
        <v>271</v>
      </c>
      <c r="N617" s="187">
        <v>14696.0</v>
      </c>
      <c r="O617" s="187">
        <v>14700.15</v>
      </c>
      <c r="Q617" s="188">
        <f t="shared" si="1"/>
        <v>-0.0002823100445</v>
      </c>
    </row>
    <row r="618">
      <c r="M618" s="184" t="s">
        <v>272</v>
      </c>
      <c r="N618" s="187">
        <v>14789.35</v>
      </c>
      <c r="O618" s="187">
        <v>14696.0</v>
      </c>
      <c r="Q618" s="188">
        <f t="shared" si="1"/>
        <v>0.00635206859</v>
      </c>
    </row>
    <row r="619">
      <c r="M619" s="184" t="s">
        <v>273</v>
      </c>
      <c r="N619" s="187">
        <v>14784.8</v>
      </c>
      <c r="O619" s="187">
        <v>14789.35</v>
      </c>
      <c r="Q619" s="188">
        <f t="shared" si="1"/>
        <v>-0.0003076538185</v>
      </c>
    </row>
    <row r="620">
      <c r="M620" s="184" t="s">
        <v>274</v>
      </c>
      <c r="N620" s="187">
        <v>14610.8</v>
      </c>
      <c r="O620" s="187">
        <v>14784.8</v>
      </c>
      <c r="Q620" s="188">
        <f t="shared" si="1"/>
        <v>-0.01176884368</v>
      </c>
    </row>
    <row r="621">
      <c r="M621" s="186">
        <v>45566.0</v>
      </c>
      <c r="N621" s="187">
        <v>14616.8</v>
      </c>
      <c r="O621" s="187">
        <v>14610.8</v>
      </c>
      <c r="Q621" s="188">
        <f t="shared" si="1"/>
        <v>0.0004106551318</v>
      </c>
    </row>
    <row r="622">
      <c r="M622" s="186">
        <v>45568.0</v>
      </c>
      <c r="N622" s="187">
        <v>14300.2</v>
      </c>
      <c r="O622" s="187">
        <v>14616.8</v>
      </c>
      <c r="Q622" s="188">
        <f t="shared" si="1"/>
        <v>-0.02166000766</v>
      </c>
    </row>
    <row r="623">
      <c r="M623" s="186">
        <v>45569.0</v>
      </c>
      <c r="N623" s="187">
        <v>14165.05</v>
      </c>
      <c r="O623" s="187">
        <v>14300.2</v>
      </c>
      <c r="Q623" s="188">
        <f t="shared" si="1"/>
        <v>-0.00945091677</v>
      </c>
    </row>
    <row r="624">
      <c r="M624" s="186">
        <v>45572.0</v>
      </c>
      <c r="N624" s="187">
        <v>13978.9</v>
      </c>
      <c r="O624" s="187">
        <v>14165.05</v>
      </c>
      <c r="Q624" s="188">
        <f t="shared" si="1"/>
        <v>-0.01314149968</v>
      </c>
    </row>
    <row r="625">
      <c r="M625" s="186">
        <v>45573.0</v>
      </c>
      <c r="N625" s="187">
        <v>14168.15</v>
      </c>
      <c r="O625" s="187">
        <v>13978.9</v>
      </c>
      <c r="Q625" s="188">
        <f t="shared" si="1"/>
        <v>0.01353826124</v>
      </c>
    </row>
    <row r="626">
      <c r="M626" s="186">
        <v>45574.0</v>
      </c>
      <c r="N626" s="187">
        <v>14199.75</v>
      </c>
      <c r="O626" s="187">
        <v>14168.15</v>
      </c>
      <c r="Q626" s="188">
        <f t="shared" si="1"/>
        <v>0.002230354704</v>
      </c>
    </row>
    <row r="627">
      <c r="M627" s="192">
        <v>45575.0</v>
      </c>
      <c r="N627" s="187">
        <v>14194.25</v>
      </c>
      <c r="O627" s="187">
        <v>14199.75</v>
      </c>
      <c r="Q627" s="188">
        <f t="shared" si="1"/>
        <v>-0.0003873307629</v>
      </c>
    </row>
    <row r="628">
      <c r="M628" s="192">
        <v>45576.0</v>
      </c>
      <c r="N628" s="187">
        <v>14194.0</v>
      </c>
      <c r="O628" s="187">
        <v>14194.25</v>
      </c>
      <c r="Q628" s="188">
        <f t="shared" si="1"/>
        <v>-0.00001761276573</v>
      </c>
    </row>
    <row r="629">
      <c r="M629" s="192">
        <v>45579.0</v>
      </c>
      <c r="N629" s="187">
        <v>14269.35</v>
      </c>
      <c r="O629" s="187">
        <v>14194.0</v>
      </c>
      <c r="Q629" s="188">
        <f t="shared" si="1"/>
        <v>0.005308581091</v>
      </c>
    </row>
    <row r="630">
      <c r="M630" s="192">
        <v>45580.0</v>
      </c>
      <c r="N630" s="187">
        <v>14252.4</v>
      </c>
      <c r="O630" s="187">
        <v>14269.35</v>
      </c>
      <c r="Q630" s="188">
        <f t="shared" si="1"/>
        <v>-0.001187860694</v>
      </c>
    </row>
    <row r="631">
      <c r="M631" s="192">
        <v>45581.0</v>
      </c>
      <c r="N631" s="187">
        <v>14205.5</v>
      </c>
      <c r="O631" s="187">
        <v>14252.4</v>
      </c>
      <c r="Q631" s="188">
        <f t="shared" si="1"/>
        <v>-0.003290673851</v>
      </c>
    </row>
    <row r="632">
      <c r="M632" s="192">
        <v>45582.0</v>
      </c>
      <c r="N632" s="187">
        <v>14033.05</v>
      </c>
      <c r="O632" s="187">
        <v>14205.5</v>
      </c>
      <c r="Q632" s="188">
        <f t="shared" si="1"/>
        <v>-0.01213966421</v>
      </c>
    </row>
    <row r="633">
      <c r="M633" s="192">
        <v>45583.0</v>
      </c>
      <c r="N633" s="187">
        <v>14080.5</v>
      </c>
      <c r="O633" s="187">
        <v>14033.05</v>
      </c>
      <c r="Q633" s="188">
        <f t="shared" si="1"/>
        <v>0.003381303423</v>
      </c>
    </row>
    <row r="634">
      <c r="M634" s="192">
        <v>45586.0</v>
      </c>
      <c r="N634" s="187">
        <v>13989.4</v>
      </c>
      <c r="O634" s="187">
        <v>14080.5</v>
      </c>
      <c r="Q634" s="188">
        <f t="shared" si="1"/>
        <v>-0.006469940698</v>
      </c>
    </row>
    <row r="635">
      <c r="M635" s="192">
        <v>45587.0</v>
      </c>
      <c r="N635" s="187">
        <v>13751.3</v>
      </c>
      <c r="O635" s="187">
        <v>13989.4</v>
      </c>
      <c r="Q635" s="188">
        <f t="shared" si="1"/>
        <v>-0.01702002945</v>
      </c>
    </row>
    <row r="636">
      <c r="M636" s="192">
        <v>45588.0</v>
      </c>
      <c r="N636" s="187">
        <v>13753.45</v>
      </c>
      <c r="O636" s="187">
        <v>13751.3</v>
      </c>
      <c r="Q636" s="188">
        <f t="shared" si="1"/>
        <v>0.0001563488543</v>
      </c>
    </row>
    <row r="637">
      <c r="M637" s="192">
        <v>45589.0</v>
      </c>
      <c r="N637" s="187">
        <v>13725.55</v>
      </c>
      <c r="O637" s="187">
        <v>13753.45</v>
      </c>
      <c r="Q637" s="188">
        <f t="shared" si="1"/>
        <v>-0.002028581919</v>
      </c>
    </row>
    <row r="638">
      <c r="M638" s="192">
        <v>45590.0</v>
      </c>
      <c r="N638" s="187">
        <v>13567.5</v>
      </c>
      <c r="O638" s="187">
        <v>13725.55</v>
      </c>
      <c r="Q638" s="188">
        <f t="shared" si="1"/>
        <v>-0.01151502126</v>
      </c>
    </row>
    <row r="639">
      <c r="M639" s="192">
        <v>45593.0</v>
      </c>
      <c r="N639" s="187">
        <v>13655.35</v>
      </c>
      <c r="O639" s="187">
        <v>13567.5</v>
      </c>
      <c r="Q639" s="188">
        <f t="shared" si="1"/>
        <v>0.006475032246</v>
      </c>
    </row>
    <row r="640">
      <c r="M640" s="192">
        <v>45594.0</v>
      </c>
      <c r="N640" s="187">
        <v>13742.3</v>
      </c>
      <c r="O640" s="187">
        <v>13655.35</v>
      </c>
      <c r="Q640" s="188">
        <f t="shared" si="1"/>
        <v>0.006367467696</v>
      </c>
    </row>
    <row r="641">
      <c r="M641" s="192">
        <v>45595.0</v>
      </c>
      <c r="N641" s="187">
        <v>13688.7</v>
      </c>
      <c r="O641" s="187">
        <v>13742.3</v>
      </c>
      <c r="Q641" s="188">
        <f t="shared" si="1"/>
        <v>-0.003900366023</v>
      </c>
    </row>
    <row r="642">
      <c r="M642" s="192">
        <v>45596.0</v>
      </c>
      <c r="N642" s="187">
        <v>13618.2</v>
      </c>
      <c r="O642" s="187">
        <v>13688.7</v>
      </c>
      <c r="Q642" s="188">
        <f t="shared" si="1"/>
        <v>-0.005150233404</v>
      </c>
    </row>
    <row r="643">
      <c r="M643" s="186">
        <v>45597.0</v>
      </c>
      <c r="N643" s="187">
        <v>13690.35</v>
      </c>
      <c r="O643" s="187">
        <v>13618.2</v>
      </c>
      <c r="Q643" s="188">
        <f t="shared" si="1"/>
        <v>0.005298057012</v>
      </c>
    </row>
    <row r="644">
      <c r="M644" s="186">
        <v>45600.0</v>
      </c>
      <c r="N644" s="187">
        <v>13513.55</v>
      </c>
      <c r="O644" s="187">
        <v>13690.35</v>
      </c>
      <c r="Q644" s="188">
        <f t="shared" si="1"/>
        <v>-0.01291420599</v>
      </c>
    </row>
    <row r="645">
      <c r="M645" s="186">
        <v>45601.0</v>
      </c>
      <c r="N645" s="187">
        <v>13618.85</v>
      </c>
      <c r="O645" s="187">
        <v>13513.55</v>
      </c>
      <c r="Q645" s="188">
        <f t="shared" si="1"/>
        <v>0.007792178961</v>
      </c>
    </row>
    <row r="646">
      <c r="M646" s="186">
        <v>45602.0</v>
      </c>
      <c r="N646" s="187">
        <v>13824.1</v>
      </c>
      <c r="O646" s="187">
        <v>13618.85</v>
      </c>
      <c r="Q646" s="188">
        <f t="shared" si="1"/>
        <v>0.01507102288</v>
      </c>
    </row>
    <row r="647">
      <c r="M647" s="186">
        <v>45603.0</v>
      </c>
      <c r="N647" s="187">
        <v>13681.75</v>
      </c>
      <c r="O647" s="187">
        <v>13824.1</v>
      </c>
      <c r="Q647" s="188">
        <f t="shared" si="1"/>
        <v>-0.01029723454</v>
      </c>
    </row>
    <row r="648">
      <c r="M648" s="186">
        <v>45604.0</v>
      </c>
      <c r="N648" s="187">
        <v>13602.3</v>
      </c>
      <c r="O648" s="187">
        <v>13681.75</v>
      </c>
      <c r="Q648" s="188">
        <f t="shared" si="1"/>
        <v>-0.005807005683</v>
      </c>
    </row>
    <row r="649">
      <c r="M649" s="192">
        <v>45607.0</v>
      </c>
      <c r="N649" s="187">
        <v>13586.75</v>
      </c>
      <c r="O649" s="187">
        <v>13602.3</v>
      </c>
      <c r="Q649" s="188">
        <f t="shared" si="1"/>
        <v>-0.00114318902</v>
      </c>
    </row>
    <row r="650">
      <c r="M650" s="192">
        <v>45608.0</v>
      </c>
      <c r="N650" s="187">
        <v>13427.8</v>
      </c>
      <c r="O650" s="187">
        <v>13586.75</v>
      </c>
      <c r="Q650" s="188">
        <f t="shared" si="1"/>
        <v>-0.01169889782</v>
      </c>
    </row>
    <row r="651">
      <c r="M651" s="192">
        <v>45609.0</v>
      </c>
      <c r="N651" s="187">
        <v>13201.95</v>
      </c>
      <c r="O651" s="187">
        <v>13427.8</v>
      </c>
      <c r="Q651" s="188">
        <f t="shared" si="1"/>
        <v>-0.01681958325</v>
      </c>
    </row>
    <row r="652">
      <c r="M652" s="192">
        <v>45610.0</v>
      </c>
      <c r="N652" s="187">
        <v>13220.4</v>
      </c>
      <c r="O652" s="187">
        <v>13201.95</v>
      </c>
      <c r="Q652" s="188">
        <f t="shared" si="1"/>
        <v>0.001397520821</v>
      </c>
    </row>
    <row r="653">
      <c r="M653" s="192">
        <v>45614.0</v>
      </c>
      <c r="N653" s="187">
        <v>13191.0</v>
      </c>
      <c r="O653" s="187">
        <v>13220.4</v>
      </c>
      <c r="Q653" s="188">
        <f t="shared" si="1"/>
        <v>-0.00222383589</v>
      </c>
    </row>
    <row r="654">
      <c r="M654" s="192">
        <v>45615.0</v>
      </c>
      <c r="N654" s="187">
        <v>13244.8</v>
      </c>
      <c r="O654" s="187">
        <v>13191.0</v>
      </c>
      <c r="Q654" s="188">
        <f t="shared" si="1"/>
        <v>0.004078538397</v>
      </c>
    </row>
    <row r="655">
      <c r="M655" s="192">
        <v>45617.0</v>
      </c>
      <c r="N655" s="187">
        <v>13129.7</v>
      </c>
      <c r="O655" s="187">
        <v>13244.8</v>
      </c>
      <c r="Q655" s="188">
        <f t="shared" si="1"/>
        <v>-0.008690202948</v>
      </c>
    </row>
    <row r="656">
      <c r="M656" s="192">
        <v>45618.0</v>
      </c>
      <c r="N656" s="187">
        <v>13390.8</v>
      </c>
      <c r="O656" s="187">
        <v>13129.7</v>
      </c>
      <c r="Q656" s="188">
        <f t="shared" si="1"/>
        <v>0.01988621218</v>
      </c>
    </row>
    <row r="657">
      <c r="M657" s="192">
        <v>45621.0</v>
      </c>
      <c r="N657" s="187">
        <v>13579.75</v>
      </c>
      <c r="O657" s="187">
        <v>13390.8</v>
      </c>
      <c r="Q657" s="188">
        <f t="shared" si="1"/>
        <v>0.01411043403</v>
      </c>
    </row>
    <row r="658">
      <c r="M658" s="192">
        <v>45622.0</v>
      </c>
      <c r="N658" s="187">
        <v>13575.55</v>
      </c>
      <c r="O658" s="187">
        <v>13579.75</v>
      </c>
      <c r="Q658" s="188">
        <f t="shared" si="1"/>
        <v>-0.0003092840443</v>
      </c>
    </row>
    <row r="659">
      <c r="M659" s="192">
        <v>45623.0</v>
      </c>
      <c r="N659" s="187">
        <v>13649.85</v>
      </c>
      <c r="O659" s="187">
        <v>13575.55</v>
      </c>
      <c r="Q659" s="188">
        <f t="shared" si="1"/>
        <v>0.005473074756</v>
      </c>
    </row>
    <row r="660">
      <c r="M660" s="192">
        <v>45624.0</v>
      </c>
      <c r="N660" s="187">
        <v>13524.75</v>
      </c>
      <c r="O660" s="187">
        <v>13649.85</v>
      </c>
      <c r="Q660" s="188">
        <f t="shared" si="1"/>
        <v>-0.009164935878</v>
      </c>
    </row>
    <row r="661">
      <c r="M661" s="192">
        <v>45625.0</v>
      </c>
      <c r="N661" s="187">
        <v>13627.0</v>
      </c>
      <c r="O661" s="187">
        <v>13524.75</v>
      </c>
      <c r="Q661" s="188">
        <f t="shared" si="1"/>
        <v>0.007560213682</v>
      </c>
    </row>
    <row r="662">
      <c r="M662" s="186">
        <v>45628.0</v>
      </c>
      <c r="N662" s="187">
        <v>13716.95</v>
      </c>
      <c r="O662" s="187">
        <v>13627.0</v>
      </c>
      <c r="Q662" s="188">
        <f t="shared" si="1"/>
        <v>0.006600865928</v>
      </c>
    </row>
    <row r="663">
      <c r="M663" s="186">
        <v>45629.0</v>
      </c>
      <c r="N663" s="187">
        <v>13825.85</v>
      </c>
      <c r="O663" s="187">
        <v>13716.95</v>
      </c>
      <c r="Q663" s="188">
        <f t="shared" si="1"/>
        <v>0.007939082668</v>
      </c>
    </row>
    <row r="664">
      <c r="M664" s="186">
        <v>45630.0</v>
      </c>
      <c r="N664" s="187">
        <v>13866.2</v>
      </c>
      <c r="O664" s="187">
        <v>13825.85</v>
      </c>
      <c r="Q664" s="188">
        <f t="shared" si="1"/>
        <v>0.002918446244</v>
      </c>
    </row>
    <row r="665">
      <c r="M665" s="186">
        <v>45631.0</v>
      </c>
      <c r="N665" s="187">
        <v>13983.4</v>
      </c>
      <c r="O665" s="187">
        <v>13866.2</v>
      </c>
      <c r="Q665" s="188">
        <f t="shared" si="1"/>
        <v>0.008452207526</v>
      </c>
    </row>
    <row r="666">
      <c r="M666" s="186">
        <v>45632.0</v>
      </c>
      <c r="N666" s="187">
        <v>13996.8</v>
      </c>
      <c r="O666" s="187">
        <v>13983.4</v>
      </c>
      <c r="Q666" s="188">
        <f t="shared" si="1"/>
        <v>0.0009582791024</v>
      </c>
    </row>
    <row r="667">
      <c r="M667" s="186">
        <v>45635.0</v>
      </c>
      <c r="N667" s="187">
        <v>13977.2</v>
      </c>
      <c r="O667" s="187">
        <v>13996.8</v>
      </c>
      <c r="Q667" s="188">
        <f t="shared" si="1"/>
        <v>-0.001400320073</v>
      </c>
    </row>
    <row r="668">
      <c r="M668" s="192">
        <v>45636.0</v>
      </c>
      <c r="N668" s="187">
        <v>13985.45</v>
      </c>
      <c r="O668" s="187">
        <v>13977.2</v>
      </c>
      <c r="Q668" s="188">
        <f t="shared" si="1"/>
        <v>0.0005902469736</v>
      </c>
    </row>
    <row r="669">
      <c r="M669" s="192">
        <v>45637.0</v>
      </c>
      <c r="N669" s="187">
        <v>14007.6</v>
      </c>
      <c r="O669" s="187">
        <v>13985.45</v>
      </c>
      <c r="Q669" s="188">
        <f t="shared" si="1"/>
        <v>0.001583788866</v>
      </c>
    </row>
    <row r="670">
      <c r="M670" s="192">
        <v>45638.0</v>
      </c>
      <c r="N670" s="187">
        <v>13956.45</v>
      </c>
      <c r="O670" s="187">
        <v>14007.6</v>
      </c>
      <c r="Q670" s="188">
        <f t="shared" si="1"/>
        <v>-0.003651589137</v>
      </c>
    </row>
    <row r="671">
      <c r="M671" s="192">
        <v>45639.0</v>
      </c>
      <c r="N671" s="187">
        <v>14035.9</v>
      </c>
      <c r="O671" s="187">
        <v>13956.45</v>
      </c>
      <c r="Q671" s="188">
        <f t="shared" si="1"/>
        <v>0.005692708389</v>
      </c>
    </row>
    <row r="672">
      <c r="M672" s="192">
        <v>45642.0</v>
      </c>
      <c r="N672" s="187">
        <v>14021.75</v>
      </c>
      <c r="O672" s="187">
        <v>14035.9</v>
      </c>
      <c r="Q672" s="188">
        <f t="shared" si="1"/>
        <v>-0.001008129155</v>
      </c>
    </row>
    <row r="673">
      <c r="M673" s="192">
        <v>45643.0</v>
      </c>
      <c r="N673" s="187">
        <v>13858.0</v>
      </c>
      <c r="O673" s="187">
        <v>14021.75</v>
      </c>
      <c r="Q673" s="188">
        <f t="shared" si="1"/>
        <v>-0.01167828552</v>
      </c>
    </row>
    <row r="674">
      <c r="M674" s="192">
        <v>45644.0</v>
      </c>
      <c r="N674" s="187">
        <v>13759.3</v>
      </c>
      <c r="O674" s="187">
        <v>13858.0</v>
      </c>
      <c r="Q674" s="188">
        <f t="shared" si="1"/>
        <v>-0.007122239861</v>
      </c>
    </row>
    <row r="675">
      <c r="M675" s="192">
        <v>45645.0</v>
      </c>
      <c r="N675" s="187">
        <v>13638.15</v>
      </c>
      <c r="O675" s="187">
        <v>13759.3</v>
      </c>
      <c r="Q675" s="188">
        <f t="shared" si="1"/>
        <v>-0.00880495374</v>
      </c>
    </row>
    <row r="676">
      <c r="M676" s="192">
        <v>45646.0</v>
      </c>
      <c r="N676" s="187">
        <v>13373.9</v>
      </c>
      <c r="O676" s="187">
        <v>13638.15</v>
      </c>
      <c r="Q676" s="188">
        <f t="shared" si="1"/>
        <v>-0.0193757951</v>
      </c>
    </row>
    <row r="677">
      <c r="M677" s="192">
        <v>45649.0</v>
      </c>
      <c r="N677" s="187">
        <v>13449.75</v>
      </c>
      <c r="O677" s="187">
        <v>13373.9</v>
      </c>
      <c r="Q677" s="188">
        <f t="shared" si="1"/>
        <v>0.005671494478</v>
      </c>
    </row>
    <row r="678">
      <c r="M678" s="192">
        <v>45650.0</v>
      </c>
      <c r="N678" s="187">
        <v>13436.0</v>
      </c>
      <c r="O678" s="187">
        <v>13449.75</v>
      </c>
      <c r="Q678" s="188">
        <f t="shared" si="1"/>
        <v>-0.001022323835</v>
      </c>
    </row>
    <row r="679">
      <c r="M679" s="192">
        <v>45652.0</v>
      </c>
      <c r="N679" s="187">
        <v>13456.35</v>
      </c>
      <c r="O679" s="187">
        <v>13436.0</v>
      </c>
      <c r="Q679" s="188">
        <f t="shared" si="1"/>
        <v>0.001514587675</v>
      </c>
    </row>
    <row r="680">
      <c r="M680" s="192">
        <v>45653.0</v>
      </c>
      <c r="N680" s="187">
        <v>13459.75</v>
      </c>
      <c r="O680" s="187">
        <v>13456.35</v>
      </c>
      <c r="Q680" s="188">
        <f t="shared" si="1"/>
        <v>0.0002526688144</v>
      </c>
    </row>
    <row r="681">
      <c r="M681" s="192">
        <v>45656.0</v>
      </c>
      <c r="N681" s="187">
        <v>13408.85</v>
      </c>
      <c r="O681" s="187">
        <v>13459.75</v>
      </c>
      <c r="Q681" s="188">
        <f t="shared" si="1"/>
        <v>-0.003781645276</v>
      </c>
    </row>
    <row r="682">
      <c r="M682" s="192">
        <v>45657.0</v>
      </c>
      <c r="N682" s="187">
        <v>13406.95</v>
      </c>
      <c r="O682" s="187">
        <v>13408.85</v>
      </c>
      <c r="Q682" s="188">
        <f t="shared" si="1"/>
        <v>-0.000141697461</v>
      </c>
    </row>
    <row r="683">
      <c r="M683" s="186">
        <v>45658.0</v>
      </c>
      <c r="N683" s="187">
        <v>13462.45</v>
      </c>
      <c r="O683" s="187">
        <v>13406.95</v>
      </c>
      <c r="Q683" s="188">
        <f t="shared" si="1"/>
        <v>0.004139643991</v>
      </c>
    </row>
    <row r="684">
      <c r="M684" s="186">
        <v>45659.0</v>
      </c>
      <c r="N684" s="187">
        <v>13685.05</v>
      </c>
      <c r="O684" s="187">
        <v>13462.45</v>
      </c>
      <c r="Q684" s="188">
        <f t="shared" si="1"/>
        <v>0.01653488035</v>
      </c>
    </row>
    <row r="685">
      <c r="M685" s="186">
        <v>45660.0</v>
      </c>
      <c r="N685" s="187">
        <v>13610.5</v>
      </c>
      <c r="O685" s="187">
        <v>13685.05</v>
      </c>
      <c r="Q685" s="188">
        <f t="shared" si="1"/>
        <v>-0.005447550429</v>
      </c>
    </row>
    <row r="686">
      <c r="M686" s="186">
        <v>45663.0</v>
      </c>
      <c r="N686" s="187">
        <v>13331.8</v>
      </c>
      <c r="O686" s="187">
        <v>13610.5</v>
      </c>
      <c r="Q686" s="188">
        <f t="shared" si="1"/>
        <v>-0.02047683774</v>
      </c>
    </row>
    <row r="687">
      <c r="M687" s="186">
        <v>45664.0</v>
      </c>
      <c r="N687" s="187">
        <v>13385.55</v>
      </c>
      <c r="O687" s="187">
        <v>13331.8</v>
      </c>
      <c r="Q687" s="188">
        <f t="shared" si="1"/>
        <v>0.004031713647</v>
      </c>
    </row>
    <row r="688">
      <c r="M688" s="186">
        <v>45665.0</v>
      </c>
      <c r="N688" s="187">
        <v>13337.5</v>
      </c>
      <c r="O688" s="187">
        <v>13385.55</v>
      </c>
      <c r="Q688" s="188">
        <f t="shared" si="1"/>
        <v>-0.003589691869</v>
      </c>
    </row>
    <row r="689">
      <c r="M689" s="186">
        <v>45666.0</v>
      </c>
      <c r="N689" s="187">
        <v>13228.5</v>
      </c>
      <c r="O689" s="187">
        <v>13337.5</v>
      </c>
      <c r="Q689" s="188">
        <f t="shared" si="1"/>
        <v>-0.008172446111</v>
      </c>
    </row>
    <row r="690">
      <c r="M690" s="192">
        <v>45667.0</v>
      </c>
      <c r="N690" s="187">
        <v>13105.35</v>
      </c>
      <c r="O690" s="187">
        <v>13228.5</v>
      </c>
      <c r="Q690" s="188">
        <f t="shared" si="1"/>
        <v>-0.009309445515</v>
      </c>
    </row>
    <row r="691">
      <c r="M691" s="192">
        <v>45670.0</v>
      </c>
      <c r="N691" s="187">
        <v>12799.6</v>
      </c>
      <c r="O691" s="187">
        <v>13105.35</v>
      </c>
      <c r="Q691" s="188">
        <f t="shared" si="1"/>
        <v>-0.02333016669</v>
      </c>
    </row>
    <row r="692">
      <c r="M692" s="192">
        <v>45671.0</v>
      </c>
      <c r="N692" s="187">
        <v>12935.25</v>
      </c>
      <c r="O692" s="187">
        <v>12799.6</v>
      </c>
      <c r="Q692" s="188">
        <f t="shared" si="1"/>
        <v>0.01059798744</v>
      </c>
    </row>
    <row r="693">
      <c r="M693" s="192">
        <v>45672.0</v>
      </c>
      <c r="N693" s="187">
        <v>12975.4</v>
      </c>
      <c r="O693" s="187">
        <v>12935.25</v>
      </c>
      <c r="Q693" s="188">
        <f t="shared" si="1"/>
        <v>0.003103921455</v>
      </c>
    </row>
    <row r="694">
      <c r="M694" s="192">
        <v>45673.0</v>
      </c>
      <c r="N694" s="187">
        <v>13064.95</v>
      </c>
      <c r="O694" s="187">
        <v>12975.4</v>
      </c>
      <c r="Q694" s="188">
        <f t="shared" si="1"/>
        <v>0.00690152134</v>
      </c>
    </row>
    <row r="695">
      <c r="M695" s="192">
        <v>45674.0</v>
      </c>
      <c r="N695" s="187">
        <v>13043.55</v>
      </c>
      <c r="O695" s="187">
        <v>13064.95</v>
      </c>
      <c r="Q695" s="188">
        <f t="shared" si="1"/>
        <v>-0.001637970295</v>
      </c>
    </row>
    <row r="696">
      <c r="M696" s="192">
        <v>45677.0</v>
      </c>
      <c r="N696" s="187">
        <v>13119.45</v>
      </c>
      <c r="O696" s="187">
        <v>13043.55</v>
      </c>
      <c r="Q696" s="188">
        <f t="shared" si="1"/>
        <v>0.005818967996</v>
      </c>
    </row>
    <row r="697">
      <c r="M697" s="192">
        <v>45678.0</v>
      </c>
      <c r="N697" s="187">
        <v>12893.9</v>
      </c>
      <c r="O697" s="187">
        <v>13119.45</v>
      </c>
      <c r="Q697" s="188">
        <f t="shared" si="1"/>
        <v>-0.01719203168</v>
      </c>
    </row>
    <row r="698">
      <c r="M698" s="192">
        <v>45679.0</v>
      </c>
      <c r="N698" s="187">
        <v>12897.7</v>
      </c>
      <c r="O698" s="187">
        <v>12893.9</v>
      </c>
      <c r="Q698" s="188">
        <f t="shared" si="1"/>
        <v>0.0002947130038</v>
      </c>
    </row>
    <row r="699">
      <c r="M699" s="192">
        <v>45680.0</v>
      </c>
      <c r="N699" s="187">
        <v>12976.35</v>
      </c>
      <c r="O699" s="187">
        <v>12897.7</v>
      </c>
      <c r="Q699" s="188">
        <f t="shared" si="1"/>
        <v>0.006097986463</v>
      </c>
    </row>
    <row r="700">
      <c r="M700" s="192">
        <v>45681.0</v>
      </c>
      <c r="N700" s="187">
        <v>12868.5</v>
      </c>
      <c r="O700" s="187">
        <v>12976.35</v>
      </c>
      <c r="Q700" s="188">
        <f t="shared" si="1"/>
        <v>-0.008311273971</v>
      </c>
    </row>
    <row r="701">
      <c r="M701" s="192">
        <v>45684.0</v>
      </c>
      <c r="N701" s="187">
        <v>12654.75</v>
      </c>
      <c r="O701" s="187">
        <v>12868.5</v>
      </c>
      <c r="Q701" s="188">
        <f t="shared" si="1"/>
        <v>-0.01661032754</v>
      </c>
    </row>
    <row r="702">
      <c r="M702" s="192">
        <v>45685.0</v>
      </c>
      <c r="N702" s="187">
        <v>12698.1</v>
      </c>
      <c r="O702" s="187">
        <v>12654.75</v>
      </c>
      <c r="Q702" s="188">
        <f t="shared" si="1"/>
        <v>0.003425591181</v>
      </c>
    </row>
    <row r="703">
      <c r="M703" s="192">
        <v>45686.0</v>
      </c>
      <c r="N703" s="187">
        <v>12862.5</v>
      </c>
      <c r="O703" s="187">
        <v>12698.1</v>
      </c>
      <c r="Q703" s="188">
        <f t="shared" si="1"/>
        <v>0.01294681882</v>
      </c>
    </row>
    <row r="704">
      <c r="M704" s="192">
        <v>45687.0</v>
      </c>
      <c r="N704" s="187">
        <v>12896.75</v>
      </c>
      <c r="O704" s="187">
        <v>12862.5</v>
      </c>
      <c r="Q704" s="188">
        <f t="shared" si="1"/>
        <v>0.002662779397</v>
      </c>
    </row>
    <row r="705">
      <c r="M705" s="192">
        <v>45688.0</v>
      </c>
      <c r="N705" s="187">
        <v>13064.55</v>
      </c>
      <c r="O705" s="187">
        <v>12896.75</v>
      </c>
      <c r="Q705" s="188">
        <f t="shared" si="1"/>
        <v>0.01301102991</v>
      </c>
    </row>
    <row r="706">
      <c r="M706" s="186">
        <v>45689.0</v>
      </c>
      <c r="N706" s="187">
        <v>13056.7</v>
      </c>
      <c r="O706" s="187">
        <v>13064.55</v>
      </c>
      <c r="Q706" s="188">
        <f t="shared" si="1"/>
        <v>-0.0006008626397</v>
      </c>
    </row>
    <row r="707">
      <c r="M707" s="186">
        <v>45691.0</v>
      </c>
      <c r="N707" s="187">
        <v>12963.85</v>
      </c>
      <c r="O707" s="187">
        <v>13056.7</v>
      </c>
      <c r="Q707" s="188">
        <f t="shared" si="1"/>
        <v>-0.007111291521</v>
      </c>
    </row>
    <row r="708">
      <c r="M708" s="186">
        <v>45692.0</v>
      </c>
      <c r="N708" s="187">
        <v>13170.85</v>
      </c>
      <c r="O708" s="187">
        <v>12963.85</v>
      </c>
      <c r="Q708" s="188">
        <f t="shared" si="1"/>
        <v>0.0159674788</v>
      </c>
    </row>
    <row r="709">
      <c r="M709" s="186">
        <v>45693.0</v>
      </c>
      <c r="N709" s="187">
        <v>13182.15</v>
      </c>
      <c r="O709" s="187">
        <v>13170.85</v>
      </c>
      <c r="Q709" s="188">
        <f t="shared" si="1"/>
        <v>0.0008579552573</v>
      </c>
    </row>
    <row r="710">
      <c r="M710" s="186">
        <v>45694.0</v>
      </c>
      <c r="N710" s="187">
        <v>13104.45</v>
      </c>
      <c r="O710" s="187">
        <v>13182.15</v>
      </c>
      <c r="Q710" s="188">
        <f t="shared" si="1"/>
        <v>-0.005894334384</v>
      </c>
    </row>
    <row r="711">
      <c r="M711" s="186">
        <v>45695.0</v>
      </c>
      <c r="N711" s="187">
        <v>13092.85</v>
      </c>
      <c r="O711" s="187">
        <v>13104.45</v>
      </c>
      <c r="Q711" s="188">
        <f t="shared" si="1"/>
        <v>-0.000885195487</v>
      </c>
    </row>
    <row r="712">
      <c r="M712" s="192">
        <v>45698.0</v>
      </c>
      <c r="N712" s="187">
        <v>12943.05</v>
      </c>
      <c r="O712" s="187">
        <v>13092.85</v>
      </c>
      <c r="Q712" s="188">
        <f t="shared" si="1"/>
        <v>-0.01144135922</v>
      </c>
    </row>
    <row r="713">
      <c r="M713" s="192">
        <v>45699.0</v>
      </c>
      <c r="N713" s="187">
        <v>12712.75</v>
      </c>
      <c r="O713" s="187">
        <v>12943.05</v>
      </c>
      <c r="Q713" s="188">
        <f t="shared" si="1"/>
        <v>-0.0177933331</v>
      </c>
    </row>
    <row r="714">
      <c r="M714" s="192">
        <v>45700.0</v>
      </c>
      <c r="N714" s="187">
        <v>12697.25</v>
      </c>
      <c r="O714" s="187">
        <v>12712.75</v>
      </c>
      <c r="Q714" s="188">
        <f t="shared" si="1"/>
        <v>-0.001219248392</v>
      </c>
    </row>
    <row r="715">
      <c r="M715" s="192">
        <v>45701.0</v>
      </c>
      <c r="N715" s="187">
        <v>12700.8</v>
      </c>
      <c r="O715" s="187">
        <v>12697.25</v>
      </c>
      <c r="Q715" s="188">
        <f t="shared" si="1"/>
        <v>0.0002795880998</v>
      </c>
    </row>
    <row r="716">
      <c r="M716" s="192">
        <v>45702.0</v>
      </c>
      <c r="N716" s="187">
        <v>12569.35</v>
      </c>
      <c r="O716" s="187">
        <v>12700.8</v>
      </c>
      <c r="Q716" s="188">
        <f t="shared" si="1"/>
        <v>-0.01034974175</v>
      </c>
    </row>
    <row r="717">
      <c r="M717" s="192">
        <v>45705.0</v>
      </c>
      <c r="N717" s="187">
        <v>12585.5</v>
      </c>
      <c r="O717" s="187">
        <v>12569.35</v>
      </c>
      <c r="Q717" s="188">
        <f t="shared" si="1"/>
        <v>0.001284871533</v>
      </c>
    </row>
    <row r="718">
      <c r="M718" s="192">
        <v>45706.0</v>
      </c>
      <c r="N718" s="187">
        <v>12576.15</v>
      </c>
      <c r="O718" s="187">
        <v>12585.5</v>
      </c>
      <c r="Q718" s="188">
        <f t="shared" si="1"/>
        <v>-0.0007429184379</v>
      </c>
    </row>
    <row r="719">
      <c r="M719" s="192">
        <v>45707.0</v>
      </c>
      <c r="N719" s="187">
        <v>12624.75</v>
      </c>
      <c r="O719" s="187">
        <v>12576.15</v>
      </c>
      <c r="Q719" s="188">
        <f t="shared" si="1"/>
        <v>0.003864457724</v>
      </c>
    </row>
    <row r="720">
      <c r="M720" s="192">
        <v>45708.0</v>
      </c>
      <c r="N720" s="187">
        <v>12670.15</v>
      </c>
      <c r="O720" s="187">
        <v>12624.75</v>
      </c>
      <c r="Q720" s="188">
        <f t="shared" si="1"/>
        <v>0.003596110814</v>
      </c>
    </row>
    <row r="721">
      <c r="M721" s="192">
        <v>45709.0</v>
      </c>
      <c r="N721" s="187">
        <v>12580.35</v>
      </c>
      <c r="O721" s="187">
        <v>12670.15</v>
      </c>
      <c r="Q721" s="188">
        <f t="shared" si="1"/>
        <v>-0.007087524615</v>
      </c>
    </row>
    <row r="722">
      <c r="M722" s="192">
        <v>45712.0</v>
      </c>
      <c r="N722" s="187">
        <v>12447.0</v>
      </c>
      <c r="O722" s="187">
        <v>12580.35</v>
      </c>
      <c r="Q722" s="188">
        <f t="shared" si="1"/>
        <v>-0.01059986407</v>
      </c>
    </row>
    <row r="723">
      <c r="M723" s="192">
        <v>45713.0</v>
      </c>
      <c r="N723" s="187">
        <v>12418.65</v>
      </c>
      <c r="O723" s="187">
        <v>12447.0</v>
      </c>
      <c r="Q723" s="188">
        <f t="shared" si="1"/>
        <v>-0.002277657267</v>
      </c>
    </row>
    <row r="724">
      <c r="M724" s="192">
        <v>45715.0</v>
      </c>
      <c r="N724" s="187">
        <v>12377.95</v>
      </c>
      <c r="O724" s="187">
        <v>12418.65</v>
      </c>
      <c r="Q724" s="188">
        <f t="shared" si="1"/>
        <v>-0.003277328856</v>
      </c>
    </row>
    <row r="725">
      <c r="M725" s="192">
        <v>45716.0</v>
      </c>
      <c r="N725" s="187">
        <v>12116.15</v>
      </c>
      <c r="O725" s="187">
        <v>12377.95</v>
      </c>
      <c r="Q725" s="188">
        <f t="shared" si="1"/>
        <v>-0.02115051361</v>
      </c>
    </row>
    <row r="726">
      <c r="M726" s="186">
        <v>45719.0</v>
      </c>
      <c r="N726" s="187">
        <v>12134.65</v>
      </c>
      <c r="O726" s="187">
        <v>12116.15</v>
      </c>
      <c r="Q726" s="188">
        <f t="shared" si="1"/>
        <v>0.001526887666</v>
      </c>
    </row>
    <row r="727">
      <c r="M727" s="186">
        <v>45720.0</v>
      </c>
      <c r="N727" s="187">
        <v>12131.4</v>
      </c>
      <c r="O727" s="187">
        <v>12134.65</v>
      </c>
      <c r="Q727" s="188">
        <f t="shared" si="1"/>
        <v>-0.0002678280791</v>
      </c>
    </row>
    <row r="728">
      <c r="M728" s="186">
        <v>45721.0</v>
      </c>
      <c r="N728" s="187">
        <v>12320.75</v>
      </c>
      <c r="O728" s="187">
        <v>12131.4</v>
      </c>
      <c r="Q728" s="188">
        <f t="shared" si="1"/>
        <v>0.01560825626</v>
      </c>
    </row>
    <row r="729">
      <c r="M729" s="186">
        <v>45722.0</v>
      </c>
      <c r="N729" s="187">
        <v>12427.45</v>
      </c>
      <c r="O729" s="187">
        <v>12320.75</v>
      </c>
      <c r="Q729" s="188">
        <f t="shared" si="1"/>
        <v>0.008660187083</v>
      </c>
    </row>
    <row r="730">
      <c r="M730" s="186">
        <v>45723.0</v>
      </c>
      <c r="N730" s="187">
        <v>12416.0</v>
      </c>
      <c r="O730" s="187">
        <v>12427.45</v>
      </c>
      <c r="Q730" s="188">
        <f t="shared" si="1"/>
        <v>-0.0009213475009</v>
      </c>
    </row>
    <row r="731">
      <c r="M731" s="192">
        <v>45726.0</v>
      </c>
      <c r="N731" s="187">
        <v>12323.4</v>
      </c>
      <c r="O731" s="187">
        <v>12416.0</v>
      </c>
      <c r="Q731" s="188">
        <f t="shared" si="1"/>
        <v>-0.007458118557</v>
      </c>
    </row>
    <row r="732">
      <c r="M732" s="192">
        <v>45727.0</v>
      </c>
      <c r="N732" s="187">
        <v>12360.1</v>
      </c>
      <c r="O732" s="187">
        <v>12323.4</v>
      </c>
      <c r="Q732" s="188">
        <f t="shared" si="1"/>
        <v>0.002978074233</v>
      </c>
    </row>
    <row r="733">
      <c r="M733" s="192">
        <v>45728.0</v>
      </c>
      <c r="N733" s="187">
        <v>12338.45</v>
      </c>
      <c r="O733" s="187">
        <v>12360.1</v>
      </c>
      <c r="Q733" s="188">
        <f t="shared" si="1"/>
        <v>-0.001751603951</v>
      </c>
    </row>
    <row r="734">
      <c r="M734" s="192">
        <v>45729.0</v>
      </c>
      <c r="N734" s="187">
        <v>12286.6</v>
      </c>
      <c r="O734" s="187">
        <v>12338.45</v>
      </c>
      <c r="Q734" s="188">
        <f t="shared" si="1"/>
        <v>-0.004202310663</v>
      </c>
    </row>
    <row r="735">
      <c r="M735" s="192">
        <v>45733.0</v>
      </c>
      <c r="N735" s="187">
        <v>12355.95</v>
      </c>
      <c r="O735" s="187">
        <v>12286.6</v>
      </c>
      <c r="Q735" s="188">
        <f t="shared" si="1"/>
        <v>0.005644360523</v>
      </c>
    </row>
    <row r="736">
      <c r="M736" s="192">
        <v>45734.0</v>
      </c>
      <c r="N736" s="187">
        <v>12570.6</v>
      </c>
      <c r="O736" s="187">
        <v>12355.95</v>
      </c>
      <c r="Q736" s="188">
        <f t="shared" si="1"/>
        <v>0.0173721972</v>
      </c>
    </row>
    <row r="737">
      <c r="M737" s="192">
        <v>45735.0</v>
      </c>
      <c r="N737" s="187">
        <v>12681.65</v>
      </c>
      <c r="O737" s="187">
        <v>12570.6</v>
      </c>
      <c r="Q737" s="188">
        <f t="shared" si="1"/>
        <v>0.008834104975</v>
      </c>
    </row>
    <row r="738">
      <c r="M738" s="192">
        <v>45736.0</v>
      </c>
      <c r="N738" s="187">
        <v>12813.55</v>
      </c>
      <c r="O738" s="187">
        <v>12681.65</v>
      </c>
      <c r="Q738" s="188">
        <f t="shared" si="1"/>
        <v>0.01040085478</v>
      </c>
    </row>
    <row r="739">
      <c r="M739" s="192">
        <v>45737.0</v>
      </c>
      <c r="N739" s="187">
        <v>12919.9</v>
      </c>
      <c r="O739" s="187">
        <v>12813.55</v>
      </c>
      <c r="Q739" s="188">
        <f t="shared" si="1"/>
        <v>0.008299807626</v>
      </c>
    </row>
    <row r="740">
      <c r="M740" s="192">
        <v>45740.0</v>
      </c>
      <c r="N740" s="187">
        <v>13088.45</v>
      </c>
      <c r="O740" s="187">
        <v>12919.9</v>
      </c>
      <c r="Q740" s="188">
        <f t="shared" si="1"/>
        <v>0.01304576661</v>
      </c>
    </row>
    <row r="741">
      <c r="M741" s="192">
        <v>45741.0</v>
      </c>
      <c r="N741" s="187">
        <v>13041.25</v>
      </c>
      <c r="O741" s="187">
        <v>13088.45</v>
      </c>
      <c r="Q741" s="188">
        <f t="shared" si="1"/>
        <v>-0.003606232976</v>
      </c>
    </row>
    <row r="742">
      <c r="M742" s="192">
        <v>45742.0</v>
      </c>
      <c r="N742" s="187">
        <v>12951.45</v>
      </c>
      <c r="O742" s="187">
        <v>13041.25</v>
      </c>
      <c r="Q742" s="188">
        <f t="shared" si="1"/>
        <v>-0.006885842998</v>
      </c>
    </row>
    <row r="743">
      <c r="M743" s="192">
        <v>45743.0</v>
      </c>
      <c r="N743" s="187">
        <v>13029.2</v>
      </c>
      <c r="O743" s="187">
        <v>12951.45</v>
      </c>
      <c r="Q743" s="188">
        <f t="shared" si="1"/>
        <v>0.006003188832</v>
      </c>
    </row>
    <row r="744">
      <c r="M744" s="192">
        <v>45744.0</v>
      </c>
      <c r="N744" s="187">
        <v>12982.75</v>
      </c>
      <c r="O744" s="187">
        <v>13029.2</v>
      </c>
      <c r="Q744" s="188">
        <f t="shared" si="1"/>
        <v>-0.003565069229</v>
      </c>
    </row>
  </sheetData>
  <mergeCells count="2">
    <mergeCell ref="A2:B2"/>
    <mergeCell ref="A4:B4"/>
  </mergeCells>
  <hyperlinks>
    <hyperlink r:id="rId1" ref="C28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</cols>
  <sheetData>
    <row r="4">
      <c r="A4" s="208" t="s">
        <v>275</v>
      </c>
      <c r="B4" s="7"/>
      <c r="C4" s="209"/>
    </row>
    <row r="5">
      <c r="A5" s="210" t="s">
        <v>276</v>
      </c>
      <c r="B5" s="211">
        <f>'Income Statement'!K16/'Income Statement'!K18</f>
        <v>2.408736741</v>
      </c>
      <c r="C5" s="209"/>
    </row>
    <row r="6">
      <c r="A6" s="210" t="s">
        <v>277</v>
      </c>
      <c r="B6" s="212">
        <v>0.0075</v>
      </c>
    </row>
    <row r="7">
      <c r="A7" s="210" t="s">
        <v>278</v>
      </c>
      <c r="B7" s="213">
        <v>0.06536</v>
      </c>
    </row>
    <row r="8">
      <c r="A8" s="210" t="s">
        <v>275</v>
      </c>
      <c r="B8" s="212">
        <f>B7+B6</f>
        <v>0.07286</v>
      </c>
    </row>
    <row r="11">
      <c r="A11" s="214" t="s">
        <v>279</v>
      </c>
      <c r="B11" s="7"/>
    </row>
    <row r="12">
      <c r="A12" s="210" t="s">
        <v>280</v>
      </c>
      <c r="B12" s="211">
        <v>379.6</v>
      </c>
    </row>
    <row r="13">
      <c r="A13" s="210" t="s">
        <v>281</v>
      </c>
      <c r="B13" s="215">
        <v>3.201993958E9</v>
      </c>
    </row>
    <row r="14">
      <c r="A14" s="210" t="s">
        <v>279</v>
      </c>
      <c r="B14" s="211">
        <f>B12*B13/POWER(10,7)</f>
        <v>121547.6906</v>
      </c>
      <c r="C14" s="216" t="s">
        <v>282</v>
      </c>
    </row>
    <row r="15">
      <c r="A15" s="217"/>
      <c r="B15" s="217"/>
    </row>
    <row r="16">
      <c r="A16" s="208" t="s">
        <v>283</v>
      </c>
      <c r="B16" s="7"/>
    </row>
    <row r="17">
      <c r="A17" s="210" t="s">
        <v>284</v>
      </c>
      <c r="B17" s="218">
        <f>'Balance Sheet'!L11</f>
        <v>44129.72</v>
      </c>
    </row>
    <row r="18">
      <c r="A18" s="210" t="s">
        <v>285</v>
      </c>
      <c r="B18" s="211">
        <v>5.0</v>
      </c>
    </row>
    <row r="19">
      <c r="A19" s="210" t="s">
        <v>162</v>
      </c>
      <c r="B19" s="218">
        <f>'Income Statement'!K18</f>
        <v>4702.44</v>
      </c>
    </row>
    <row r="20">
      <c r="A20" s="210" t="s">
        <v>275</v>
      </c>
      <c r="B20" s="212">
        <v>0.0729</v>
      </c>
    </row>
    <row r="21">
      <c r="A21" s="210" t="s">
        <v>283</v>
      </c>
      <c r="B21" s="211">
        <f>B19*((1-1/((1+B20)^B18))/B20)+(B17/((1+B20)^B18))</f>
        <v>50173.08528</v>
      </c>
    </row>
    <row r="22">
      <c r="A22" s="217"/>
      <c r="B22" s="217"/>
    </row>
    <row r="23">
      <c r="A23" s="217"/>
      <c r="B23" s="217"/>
    </row>
    <row r="24">
      <c r="A24" s="219" t="s">
        <v>286</v>
      </c>
      <c r="B24" s="220"/>
    </row>
    <row r="25">
      <c r="A25" s="210" t="s">
        <v>287</v>
      </c>
      <c r="B25" s="211">
        <f>B14+B21</f>
        <v>171720.7759</v>
      </c>
    </row>
    <row r="26">
      <c r="A26" s="210" t="s">
        <v>288</v>
      </c>
      <c r="B26" s="211">
        <f>B21/B25</f>
        <v>0.2921783052</v>
      </c>
    </row>
    <row r="27">
      <c r="A27" s="210" t="s">
        <v>289</v>
      </c>
      <c r="B27" s="211">
        <f>B14/B25</f>
        <v>0.7078216948</v>
      </c>
    </row>
    <row r="28">
      <c r="A28" s="210" t="s">
        <v>290</v>
      </c>
      <c r="B28" s="212">
        <f>'Income Statement'!H59</f>
        <v>0.2227978429</v>
      </c>
    </row>
    <row r="29">
      <c r="A29" s="210" t="s">
        <v>291</v>
      </c>
      <c r="B29" s="212">
        <f>B27*('Cost of Equity'!B31)+'WACC Calculation'!B26*('WACC Calculation'!B8)*(1-'WACC Calculation'!B28)</f>
        <v>0.1359929281</v>
      </c>
    </row>
  </sheetData>
  <mergeCells count="3">
    <mergeCell ref="A11:B11"/>
    <mergeCell ref="A16:B16"/>
    <mergeCell ref="A4:B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4" max="4" width="10.75"/>
  </cols>
  <sheetData>
    <row r="1">
      <c r="A1" s="221" t="s">
        <v>292</v>
      </c>
      <c r="B1" s="222">
        <v>45741.0</v>
      </c>
      <c r="C1" s="222">
        <v>45740.0</v>
      </c>
      <c r="D1" s="222">
        <v>45739.0</v>
      </c>
      <c r="E1" s="10"/>
      <c r="F1" s="10"/>
      <c r="G1" s="10"/>
    </row>
    <row r="2">
      <c r="A2" s="108" t="s">
        <v>168</v>
      </c>
      <c r="B2" s="38">
        <f>'Income Statement'!K28</f>
        <v>3982.04</v>
      </c>
      <c r="C2" s="38">
        <f>'Income Statement'!L28</f>
        <v>3102.53</v>
      </c>
      <c r="D2" s="38">
        <f>'Income Statement'!M28</f>
        <v>610.21</v>
      </c>
      <c r="E2" s="10"/>
      <c r="F2" s="10"/>
      <c r="G2" s="10"/>
    </row>
    <row r="3">
      <c r="A3" s="108" t="s">
        <v>80</v>
      </c>
      <c r="B3" s="38">
        <f>'Balance Sheet'!L48</f>
        <v>156698.95</v>
      </c>
      <c r="C3" s="38">
        <f>'Balance Sheet'!M48</f>
        <v>139542.35</v>
      </c>
      <c r="D3" s="38">
        <f>'Balance Sheet'!N48</f>
        <v>128337.49</v>
      </c>
      <c r="E3" s="10"/>
      <c r="F3" s="10"/>
      <c r="G3" s="10"/>
    </row>
    <row r="4">
      <c r="A4" s="108" t="s">
        <v>293</v>
      </c>
      <c r="B4" s="38">
        <f>'Balance Sheet'!L8</f>
        <v>35840.67</v>
      </c>
      <c r="C4" s="38">
        <f>'Balance Sheet'!M8</f>
        <v>32355.29</v>
      </c>
      <c r="D4" s="38">
        <f>'Balance Sheet'!N8</f>
        <v>28787.43</v>
      </c>
      <c r="E4" s="10"/>
      <c r="F4" s="10"/>
      <c r="G4" s="10"/>
    </row>
    <row r="5">
      <c r="A5" s="108" t="s">
        <v>294</v>
      </c>
      <c r="B5" s="34">
        <v>2.0</v>
      </c>
      <c r="C5" s="34">
        <v>2.0</v>
      </c>
      <c r="D5" s="34">
        <v>1.75</v>
      </c>
      <c r="E5" s="10"/>
      <c r="F5" s="10"/>
      <c r="G5" s="10"/>
    </row>
    <row r="6">
      <c r="A6" s="108" t="s">
        <v>295</v>
      </c>
      <c r="B6" s="34">
        <f>'WACC Calculation'!$B$13*'Growth and DCF Valuation'!B5/POWER(10,7)</f>
        <v>640.3987916</v>
      </c>
      <c r="C6" s="34">
        <f>'WACC Calculation'!$B$13*'Growth and DCF Valuation'!C5/POWER(10,7)</f>
        <v>640.3987916</v>
      </c>
      <c r="D6" s="34">
        <f>'WACC Calculation'!$B$13*'Growth and DCF Valuation'!D5/POWER(10,7)</f>
        <v>560.3489427</v>
      </c>
      <c r="E6" s="190" t="s">
        <v>296</v>
      </c>
      <c r="F6" s="10"/>
      <c r="G6" s="10"/>
    </row>
    <row r="7">
      <c r="A7" s="108" t="s">
        <v>297</v>
      </c>
      <c r="B7" s="35">
        <f t="shared" ref="B7:D7" si="1">B6/B2</f>
        <v>0.1608217877</v>
      </c>
      <c r="C7" s="35">
        <f t="shared" si="1"/>
        <v>0.2064117967</v>
      </c>
      <c r="D7" s="35">
        <f t="shared" si="1"/>
        <v>0.9182886918</v>
      </c>
      <c r="E7" s="10"/>
      <c r="F7" s="10"/>
      <c r="G7" s="10"/>
    </row>
    <row r="8">
      <c r="A8" s="108" t="s">
        <v>298</v>
      </c>
      <c r="B8" s="35">
        <f t="shared" ref="B8:D8" si="2">1-B7</f>
        <v>0.8391782123</v>
      </c>
      <c r="C8" s="35">
        <f t="shared" si="2"/>
        <v>0.7935882033</v>
      </c>
      <c r="D8" s="35">
        <f t="shared" si="2"/>
        <v>0.08171130816</v>
      </c>
      <c r="E8" s="10"/>
      <c r="F8" s="10"/>
      <c r="G8" s="10"/>
    </row>
    <row r="9">
      <c r="A9" s="108" t="s">
        <v>299</v>
      </c>
      <c r="B9" s="35">
        <f t="shared" ref="B9:D9" si="3">B2/B3</f>
        <v>0.02541204009</v>
      </c>
      <c r="C9" s="35">
        <f t="shared" si="3"/>
        <v>0.02223360865</v>
      </c>
      <c r="D9" s="35">
        <f t="shared" si="3"/>
        <v>0.004754729113</v>
      </c>
      <c r="E9" s="10"/>
      <c r="F9" s="10"/>
      <c r="G9" s="10"/>
    </row>
    <row r="10">
      <c r="A10" s="108" t="s">
        <v>300</v>
      </c>
      <c r="B10" s="35">
        <f t="shared" ref="B10:D10" si="4">B2/B4</f>
        <v>0.1111039498</v>
      </c>
      <c r="C10" s="35">
        <f t="shared" si="4"/>
        <v>0.09588942025</v>
      </c>
      <c r="D10" s="35">
        <f t="shared" si="4"/>
        <v>0.02119709887</v>
      </c>
      <c r="E10" s="10"/>
      <c r="F10" s="10"/>
      <c r="G10" s="10"/>
    </row>
    <row r="11">
      <c r="A11" s="10"/>
      <c r="B11" s="10"/>
      <c r="C11" s="10"/>
      <c r="D11" s="10"/>
      <c r="E11" s="10"/>
      <c r="F11" s="10"/>
      <c r="G11" s="10"/>
    </row>
    <row r="12">
      <c r="A12" s="10"/>
      <c r="B12" s="10"/>
      <c r="C12" s="10"/>
      <c r="D12" s="10"/>
      <c r="F12" s="10"/>
      <c r="G12" s="10"/>
    </row>
    <row r="13">
      <c r="A13" s="223" t="s">
        <v>301</v>
      </c>
      <c r="B13" s="6"/>
      <c r="C13" s="7"/>
      <c r="D13" s="10"/>
      <c r="E13" s="10"/>
      <c r="F13" s="224"/>
    </row>
    <row r="14">
      <c r="A14" s="108" t="s">
        <v>299</v>
      </c>
      <c r="B14" s="225">
        <f>AVERAGE(B9:D9)</f>
        <v>0.01746679262</v>
      </c>
      <c r="C14" s="7"/>
      <c r="D14" s="10"/>
      <c r="E14" s="10"/>
      <c r="F14" s="10"/>
      <c r="G14" s="10"/>
    </row>
    <row r="15">
      <c r="A15" s="108" t="s">
        <v>302</v>
      </c>
      <c r="B15" s="225">
        <f>AVERAGE(B8:D8)</f>
        <v>0.5714925746</v>
      </c>
      <c r="C15" s="7"/>
      <c r="D15" s="10"/>
      <c r="E15" s="10"/>
      <c r="F15" s="10"/>
      <c r="G15" s="10"/>
    </row>
    <row r="16">
      <c r="A16" s="108" t="s">
        <v>303</v>
      </c>
      <c r="B16" s="225">
        <f>B14*B15</f>
        <v>0.009982142283</v>
      </c>
      <c r="C16" s="7"/>
      <c r="D16" s="10"/>
      <c r="E16" s="10"/>
      <c r="F16" s="10"/>
      <c r="G16" s="10"/>
    </row>
    <row r="17">
      <c r="A17" s="108" t="s">
        <v>291</v>
      </c>
      <c r="B17" s="225">
        <f>'WACC Calculation'!B29</f>
        <v>0.1359929281</v>
      </c>
      <c r="C17" s="7"/>
      <c r="D17" s="10"/>
      <c r="E17" s="10"/>
      <c r="F17" s="10"/>
      <c r="G17" s="10"/>
    </row>
    <row r="18">
      <c r="A18" s="108" t="s">
        <v>304</v>
      </c>
      <c r="B18" s="226">
        <f>'Tata Power FCFF and FCFE'!C12</f>
        <v>3288.938846</v>
      </c>
      <c r="C18" s="7"/>
      <c r="D18" s="10"/>
      <c r="E18" s="10"/>
      <c r="F18" s="10"/>
      <c r="G18" s="10"/>
    </row>
    <row r="19">
      <c r="A19" s="108" t="s">
        <v>305</v>
      </c>
      <c r="B19" s="226">
        <f>B18*((1+B16)/(B17-B16))</f>
        <v>26360.99346</v>
      </c>
      <c r="C19" s="7"/>
      <c r="D19" s="10"/>
      <c r="E19" s="10"/>
      <c r="F19" s="10"/>
      <c r="G19" s="10"/>
    </row>
    <row r="20">
      <c r="A20" s="108" t="s">
        <v>306</v>
      </c>
      <c r="B20" s="226">
        <f>B19/(1+B17)^5</f>
        <v>13934.25117</v>
      </c>
      <c r="C20" s="7"/>
      <c r="D20" s="10"/>
      <c r="E20" s="10"/>
      <c r="F20" s="10"/>
      <c r="G20" s="10"/>
    </row>
    <row r="21">
      <c r="A21" s="10"/>
      <c r="B21" s="10"/>
      <c r="C21" s="10"/>
      <c r="D21" s="10"/>
      <c r="E21" s="10"/>
      <c r="F21" s="10"/>
      <c r="G21" s="10"/>
    </row>
    <row r="22">
      <c r="A22" s="223" t="s">
        <v>307</v>
      </c>
      <c r="B22" s="6"/>
      <c r="C22" s="7"/>
      <c r="D22" s="10"/>
      <c r="E22" s="10"/>
      <c r="F22" s="10"/>
      <c r="G22" s="10"/>
    </row>
    <row r="23">
      <c r="A23" s="108" t="s">
        <v>300</v>
      </c>
      <c r="B23" s="225">
        <f>AVERAGE(B10:D10)</f>
        <v>0.07606348964</v>
      </c>
      <c r="C23" s="7"/>
      <c r="D23" s="10"/>
      <c r="E23" s="10"/>
      <c r="F23" s="10"/>
      <c r="G23" s="10"/>
    </row>
    <row r="24">
      <c r="A24" s="108" t="s">
        <v>302</v>
      </c>
      <c r="B24" s="225">
        <f>AVERAGE(B8:D8)</f>
        <v>0.5714925746</v>
      </c>
      <c r="C24" s="7"/>
      <c r="D24" s="10"/>
      <c r="E24" s="10"/>
      <c r="F24" s="10"/>
      <c r="G24" s="10"/>
    </row>
    <row r="25">
      <c r="A25" s="108" t="s">
        <v>303</v>
      </c>
      <c r="B25" s="225">
        <f>B23*B24</f>
        <v>0.04346971952</v>
      </c>
      <c r="C25" s="7"/>
      <c r="D25" s="10"/>
      <c r="E25" s="10"/>
      <c r="F25" s="10"/>
      <c r="G25" s="10"/>
    </row>
    <row r="26">
      <c r="A26" s="108" t="s">
        <v>291</v>
      </c>
      <c r="B26" s="225">
        <f>'WACC Calculation'!B29</f>
        <v>0.1359929281</v>
      </c>
      <c r="C26" s="7"/>
      <c r="D26" s="10"/>
      <c r="E26" s="10"/>
      <c r="F26" s="10"/>
      <c r="G26" s="10"/>
    </row>
    <row r="27">
      <c r="A27" s="108" t="s">
        <v>308</v>
      </c>
      <c r="B27" s="227">
        <f>'Tata Power FCFF and FCFE'!C25</f>
        <v>5241.122494</v>
      </c>
      <c r="C27" s="7"/>
      <c r="D27" s="10"/>
      <c r="E27" s="10"/>
      <c r="F27" s="10"/>
      <c r="G27" s="10"/>
    </row>
    <row r="28">
      <c r="A28" s="108" t="s">
        <v>305</v>
      </c>
      <c r="B28" s="226">
        <f>B27*((1+B25)/(B26-B25))</f>
        <v>59108.98144</v>
      </c>
      <c r="C28" s="7"/>
      <c r="D28" s="10"/>
      <c r="E28" s="10"/>
      <c r="F28" s="10"/>
      <c r="G28" s="10"/>
    </row>
    <row r="29">
      <c r="A29" s="108" t="s">
        <v>306</v>
      </c>
      <c r="B29" s="226">
        <f>B28/(1+B26)^5</f>
        <v>31244.62646</v>
      </c>
      <c r="C29" s="7"/>
      <c r="D29" s="10"/>
      <c r="E29" s="10"/>
      <c r="F29" s="10"/>
      <c r="G29" s="10"/>
    </row>
    <row r="30">
      <c r="A30" s="10"/>
      <c r="B30" s="10"/>
      <c r="C30" s="10"/>
      <c r="D30" s="10"/>
      <c r="E30" s="10"/>
      <c r="F30" s="10"/>
      <c r="G30" s="10"/>
    </row>
    <row r="31">
      <c r="A31" s="228"/>
      <c r="B31" s="222">
        <v>45742.0</v>
      </c>
      <c r="C31" s="222">
        <v>45743.0</v>
      </c>
      <c r="D31" s="222">
        <v>45744.0</v>
      </c>
      <c r="E31" s="222">
        <v>45745.0</v>
      </c>
      <c r="F31" s="222">
        <v>45746.0</v>
      </c>
      <c r="G31" s="229" t="s">
        <v>309</v>
      </c>
    </row>
    <row r="32">
      <c r="A32" s="230" t="s">
        <v>172</v>
      </c>
      <c r="B32" s="231">
        <f>'Tata Power FCFF and FCFE'!G12</f>
        <v>5104.710698</v>
      </c>
      <c r="C32" s="232">
        <f>'Tata Power FCFF and FCFE'!F12</f>
        <v>2547.640973</v>
      </c>
      <c r="D32" s="232">
        <f>'Tata Power FCFF and FCFE'!E12</f>
        <v>2774.027419</v>
      </c>
      <c r="E32" s="232">
        <f>'Tata Power FCFF and FCFE'!D12</f>
        <v>3020.530837</v>
      </c>
      <c r="F32" s="232">
        <f>'Tata Power FCFF and FCFE'!C12</f>
        <v>3288.938846</v>
      </c>
      <c r="G32" s="233">
        <f>B20</f>
        <v>13934.25117</v>
      </c>
    </row>
    <row r="33">
      <c r="A33" s="234"/>
      <c r="B33" s="235"/>
      <c r="C33" s="235"/>
      <c r="D33" s="235"/>
      <c r="E33" s="235"/>
      <c r="F33" s="235"/>
      <c r="G33" s="235"/>
    </row>
    <row r="34">
      <c r="A34" s="236" t="s">
        <v>310</v>
      </c>
      <c r="B34" s="237">
        <f t="array" ref="B34">(NPV(B17,B32:F32)+G32)
</f>
        <v>25846.59264</v>
      </c>
      <c r="C34" s="235"/>
      <c r="D34" s="235"/>
      <c r="E34" s="235"/>
      <c r="F34" s="235"/>
      <c r="G34" s="235"/>
    </row>
    <row r="35">
      <c r="A35" s="10"/>
      <c r="B35" s="10"/>
      <c r="C35" s="10"/>
      <c r="D35" s="10"/>
      <c r="E35" s="10"/>
      <c r="F35" s="10"/>
      <c r="G35" s="10"/>
    </row>
    <row r="36">
      <c r="A36" s="238"/>
      <c r="B36" s="239">
        <v>45742.0</v>
      </c>
      <c r="C36" s="239">
        <v>45743.0</v>
      </c>
      <c r="D36" s="239">
        <v>45744.0</v>
      </c>
      <c r="E36" s="239">
        <v>45745.0</v>
      </c>
      <c r="F36" s="239">
        <v>45746.0</v>
      </c>
      <c r="G36" s="240" t="s">
        <v>309</v>
      </c>
    </row>
    <row r="37">
      <c r="A37" s="230" t="s">
        <v>175</v>
      </c>
      <c r="B37" s="231">
        <f>'Tata Power FCFF and FCFE'!G25</f>
        <v>6326.592136</v>
      </c>
      <c r="C37" s="231">
        <f>'Tata Power FCFF and FCFE'!F25</f>
        <v>3921.372826</v>
      </c>
      <c r="D37" s="231">
        <f>'Tata Power FCFF and FCFE'!E25</f>
        <v>4318.481032</v>
      </c>
      <c r="E37" s="231">
        <f>'Tata Power FCFF and FCFE'!D25</f>
        <v>4756.922812</v>
      </c>
      <c r="F37" s="231">
        <f>'Tata Power FCFF and FCFE'!C25</f>
        <v>5241.122494</v>
      </c>
      <c r="G37" s="233">
        <f>B29</f>
        <v>31244.62646</v>
      </c>
    </row>
    <row r="38">
      <c r="A38" s="234"/>
      <c r="B38" s="235"/>
      <c r="C38" s="235"/>
      <c r="D38" s="235"/>
      <c r="E38" s="235"/>
      <c r="F38" s="235"/>
      <c r="G38" s="235"/>
    </row>
    <row r="39">
      <c r="A39" s="236" t="s">
        <v>310</v>
      </c>
      <c r="B39" s="241">
        <f t="array" ref="B39">NPV(B26,B37:F37)+G37</f>
        <v>48425.19726</v>
      </c>
      <c r="C39" s="235"/>
      <c r="D39" s="235"/>
      <c r="E39" s="235"/>
      <c r="F39" s="235"/>
      <c r="G39" s="235"/>
    </row>
  </sheetData>
  <mergeCells count="17">
    <mergeCell ref="A13:C13"/>
    <mergeCell ref="F13:G13"/>
    <mergeCell ref="B14:C14"/>
    <mergeCell ref="B15:C15"/>
    <mergeCell ref="B16:C16"/>
    <mergeCell ref="B17:C17"/>
    <mergeCell ref="B18:C18"/>
    <mergeCell ref="B27:C27"/>
    <mergeCell ref="B28:C28"/>
    <mergeCell ref="B29:C29"/>
    <mergeCell ref="B19:C19"/>
    <mergeCell ref="B20:C20"/>
    <mergeCell ref="A22:C22"/>
    <mergeCell ref="B23:C23"/>
    <mergeCell ref="B24:C24"/>
    <mergeCell ref="B26:C26"/>
    <mergeCell ref="B25:C2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5.88"/>
    <col customWidth="1" min="3" max="3" width="17.75"/>
    <col customWidth="1" min="5" max="5" width="29.0"/>
  </cols>
  <sheetData>
    <row r="1">
      <c r="A1" s="242" t="s">
        <v>311</v>
      </c>
    </row>
    <row r="3">
      <c r="B3" s="243" t="s">
        <v>312</v>
      </c>
      <c r="C3" s="244" t="s">
        <v>313</v>
      </c>
      <c r="D3" s="6"/>
      <c r="E3" s="7"/>
    </row>
    <row r="4">
      <c r="A4" s="245" t="s">
        <v>314</v>
      </c>
      <c r="B4" s="246" t="s">
        <v>315</v>
      </c>
      <c r="C4" s="246" t="s">
        <v>316</v>
      </c>
      <c r="D4" s="246" t="s">
        <v>317</v>
      </c>
      <c r="E4" s="246" t="s">
        <v>318</v>
      </c>
    </row>
    <row r="5">
      <c r="A5" s="247" t="s">
        <v>319</v>
      </c>
      <c r="B5" s="248">
        <v>30.6</v>
      </c>
      <c r="C5" s="248">
        <v>23.9</v>
      </c>
      <c r="D5" s="248">
        <v>15.7</v>
      </c>
      <c r="E5" s="248">
        <v>21.77</v>
      </c>
    </row>
    <row r="6">
      <c r="A6" s="247" t="s">
        <v>320</v>
      </c>
      <c r="B6" s="248">
        <v>16.98</v>
      </c>
      <c r="C6" s="248">
        <v>17.82</v>
      </c>
      <c r="D6" s="248">
        <v>12.06</v>
      </c>
      <c r="E6" s="248">
        <v>13.2</v>
      </c>
    </row>
    <row r="7">
      <c r="A7" s="247" t="s">
        <v>321</v>
      </c>
      <c r="B7" s="248">
        <v>12.41</v>
      </c>
      <c r="C7" s="248">
        <v>6.25</v>
      </c>
      <c r="D7" s="248">
        <v>10.33</v>
      </c>
      <c r="E7" s="248">
        <v>21.03</v>
      </c>
    </row>
    <row r="9">
      <c r="A9" s="247" t="s">
        <v>322</v>
      </c>
      <c r="B9" s="249">
        <f>AVERAGE(C6:E6)</f>
        <v>14.36</v>
      </c>
    </row>
    <row r="10">
      <c r="A10" s="247" t="s">
        <v>323</v>
      </c>
      <c r="B10" s="249">
        <f>AVERAGE(C5:E5)</f>
        <v>20.45666667</v>
      </c>
      <c r="E10" s="216" t="s">
        <v>324</v>
      </c>
    </row>
    <row r="12">
      <c r="A12" s="247" t="s">
        <v>325</v>
      </c>
      <c r="B12" s="250">
        <f>'Income Statement'!C28</f>
        <v>5526.29</v>
      </c>
      <c r="C12" s="216" t="s">
        <v>326</v>
      </c>
    </row>
    <row r="13">
      <c r="A13" s="247" t="s">
        <v>327</v>
      </c>
      <c r="B13" s="249">
        <f>B7</f>
        <v>12.41</v>
      </c>
    </row>
    <row r="15">
      <c r="A15" s="251" t="s">
        <v>328</v>
      </c>
      <c r="B15" s="252">
        <f t="shared" ref="B15:B16" si="1">B9*B12</f>
        <v>79357.5244</v>
      </c>
      <c r="C15" s="216" t="s">
        <v>326</v>
      </c>
    </row>
    <row r="16">
      <c r="A16" s="253" t="s">
        <v>329</v>
      </c>
      <c r="B16" s="254">
        <f t="shared" si="1"/>
        <v>253.8672333</v>
      </c>
      <c r="C16" s="216" t="s">
        <v>326</v>
      </c>
    </row>
  </sheetData>
  <mergeCells count="2">
    <mergeCell ref="A1:E1"/>
    <mergeCell ref="C3:E3"/>
  </mergeCells>
  <drawing r:id="rId1"/>
</worksheet>
</file>