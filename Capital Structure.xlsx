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13_ncr:1_{D5939B9E-C238-4FB4-A8EC-0FF2253DF6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RO" sheetId="1" r:id="rId1"/>
    <sheet name="DATA" sheetId="2" r:id="rId2"/>
    <sheet name="YTM" sheetId="3" r:id="rId3"/>
    <sheet name="NSE GRASIM" sheetId="4" r:id="rId4"/>
    <sheet name="NSE ITC" sheetId="5" r:id="rId5"/>
    <sheet name="NSE SRF" sheetId="6" r:id="rId6"/>
    <sheet name="NSE LINDE INDIA" sheetId="7" r:id="rId7"/>
    <sheet name="NSE 3M INDIA" sheetId="8" r:id="rId8"/>
    <sheet name="COST OF DEBT" sheetId="9" r:id="rId9"/>
    <sheet name="WACC Using Top Down Approach" sheetId="10" r:id="rId10"/>
    <sheet name="WACC Using Bottom Up Approach 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1" l="1"/>
  <c r="F27" i="11" s="1"/>
  <c r="E8" i="11"/>
  <c r="E7" i="11"/>
  <c r="E6" i="11"/>
  <c r="F10" i="11" s="1"/>
  <c r="E5" i="11"/>
  <c r="E4" i="11"/>
  <c r="B17" i="10"/>
  <c r="B23" i="10" s="1"/>
  <c r="B13" i="9"/>
  <c r="B9" i="9"/>
  <c r="B63" i="3"/>
  <c r="F72" i="2"/>
  <c r="E71" i="2"/>
  <c r="E70" i="2"/>
  <c r="E69" i="2"/>
  <c r="E68" i="2"/>
  <c r="E67" i="2"/>
  <c r="F74" i="2" s="1"/>
</calcChain>
</file>

<file path=xl/sharedStrings.xml><?xml version="1.0" encoding="utf-8"?>
<sst xmlns="http://schemas.openxmlformats.org/spreadsheetml/2006/main" count="132" uniqueCount="90">
  <si>
    <t>SNO</t>
  </si>
  <si>
    <t>NAME</t>
  </si>
  <si>
    <t>ID NUMBER</t>
  </si>
  <si>
    <t xml:space="preserve">Khush Goyal </t>
  </si>
  <si>
    <t>2023A3PS0340H</t>
  </si>
  <si>
    <t>Tathagat Rath</t>
  </si>
  <si>
    <t>2023A7PS0109H</t>
  </si>
  <si>
    <t>Shraddhanjali Sahoo</t>
  </si>
  <si>
    <t>2023B3AA0298H</t>
  </si>
  <si>
    <t xml:space="preserve">N.Krishna Prasad </t>
  </si>
  <si>
    <t>2022A2PS1857H</t>
  </si>
  <si>
    <t>COMPANY NAME</t>
  </si>
  <si>
    <t>GOOGLE COLAB LINKS</t>
  </si>
  <si>
    <t>NSE: GRASIM</t>
  </si>
  <si>
    <t>https://colab.research.google.com/drive/1pHVC1sJAoI2J4IaDRD7mhwrfnvINZSxA#scrollTo=5BIUF0royxEh</t>
  </si>
  <si>
    <t xml:space="preserve">NSE: ITC </t>
  </si>
  <si>
    <t>https://colab.research.google.com/drive/10rS7I-njFoVtp_ocVyGtY-3EunSlIvjs#scrollTo=JzL4fn_Zme9r</t>
  </si>
  <si>
    <t>NSE: SRF</t>
  </si>
  <si>
    <t>https://colab.research.google.com/drive/1_ExEBAUKAi11xfXo-wdCqRJ7UdkFMydi#scrollTo=91FVdzT_fBp-</t>
  </si>
  <si>
    <t xml:space="preserve">NSE: LINDE INDIA </t>
  </si>
  <si>
    <t>https://colab.research.google.com/drive/1Lra6JKsjnPGGSCSDQXMpHHVwGkCttB4z#scrollTo=bLITOkYcfBpm</t>
  </si>
  <si>
    <t>NSE: 3M INDIA</t>
  </si>
  <si>
    <t>https://colab.research.google.com/drive/12cihm69Qn4Rem5tv3fMkk864URRBzjIu#scrollTo=QRZxDiyOfBpw</t>
  </si>
  <si>
    <t>Source:yfinance</t>
  </si>
  <si>
    <t xml:space="preserve">Date </t>
  </si>
  <si>
    <t>ADJUSTED CLOSING PRICES</t>
  </si>
  <si>
    <t>RETURNS</t>
  </si>
  <si>
    <t xml:space="preserve">Tickers </t>
  </si>
  <si>
    <t xml:space="preserve"> NSE: GRASIM</t>
  </si>
  <si>
    <t>NSE:SRF</t>
  </si>
  <si>
    <t xml:space="preserve">Company </t>
  </si>
  <si>
    <t xml:space="preserve">Beta </t>
  </si>
  <si>
    <t>Debt to Equity</t>
  </si>
  <si>
    <t>Tax Rate</t>
  </si>
  <si>
    <t>Unlevered Beta</t>
  </si>
  <si>
    <t>Unlivered Beta Average</t>
  </si>
  <si>
    <t xml:space="preserve">Beta Levered for Grasim: </t>
  </si>
  <si>
    <t>D/E for Grasim</t>
  </si>
  <si>
    <t>D/V for Grasim</t>
  </si>
  <si>
    <t>E/V for Grasim</t>
  </si>
  <si>
    <t>Date</t>
  </si>
  <si>
    <t>YTM of 364 1yr govt. Bond (%)</t>
  </si>
  <si>
    <t xml:space="preserve">AVERAGE </t>
  </si>
  <si>
    <t>Cost of Debt</t>
  </si>
  <si>
    <t>EBIT(in cr)</t>
  </si>
  <si>
    <t>Interest Expense(in cr)</t>
  </si>
  <si>
    <t>Interest Coverage ratio</t>
  </si>
  <si>
    <t>*AAA rating based on Credit default spread</t>
  </si>
  <si>
    <t>Credit Default Spread</t>
  </si>
  <si>
    <t>Risk free rate</t>
  </si>
  <si>
    <t>Pretax Cost of debt</t>
  </si>
  <si>
    <t>Price per share(in INR)</t>
  </si>
  <si>
    <t>Number of shares outstanding(in cr)</t>
  </si>
  <si>
    <t>Market value of equity(in cr)</t>
  </si>
  <si>
    <t>SUMMARY STATISTICS FOR GRASIM</t>
  </si>
  <si>
    <t>Regression Statistics</t>
  </si>
  <si>
    <t>No. of ONSErvations</t>
  </si>
  <si>
    <t xml:space="preserve">R-squared </t>
  </si>
  <si>
    <t>Adjusated R-squared</t>
  </si>
  <si>
    <t>F-statistic</t>
  </si>
  <si>
    <t>coeffecients</t>
  </si>
  <si>
    <t>standard error</t>
  </si>
  <si>
    <t>t statistics</t>
  </si>
  <si>
    <t>P&gt;|t|</t>
  </si>
  <si>
    <t>[0.025</t>
  </si>
  <si>
    <t>0.975]</t>
  </si>
  <si>
    <t>const</t>
  </si>
  <si>
    <t>Return_NIFTY</t>
  </si>
  <si>
    <t>Beta</t>
  </si>
  <si>
    <t>Risk free Rate</t>
  </si>
  <si>
    <t>Market Returns</t>
  </si>
  <si>
    <t>Cost of Equity</t>
  </si>
  <si>
    <t>D/E</t>
  </si>
  <si>
    <t>E/V for GRASIM</t>
  </si>
  <si>
    <t>D/V for GRASIM</t>
  </si>
  <si>
    <t>WACC</t>
  </si>
  <si>
    <t>Cost of Equity Capital</t>
  </si>
  <si>
    <t>Pre Tax Cost of debt</t>
  </si>
  <si>
    <t xml:space="preserve">WACC USING BOTTOM UP </t>
  </si>
  <si>
    <t>Company</t>
  </si>
  <si>
    <t xml:space="preserve">**Corporate tax rate assumed to be 25% by industry standard </t>
  </si>
  <si>
    <t>Unlevered Beta Average</t>
  </si>
  <si>
    <t>Rs (Cost of Equity)</t>
  </si>
  <si>
    <t>Rf (Risk Free Rate)(In %)</t>
  </si>
  <si>
    <t>Rm (Market Return)(In %)</t>
  </si>
  <si>
    <t>Annual Return</t>
  </si>
  <si>
    <t>Average Return</t>
  </si>
  <si>
    <t>Rb (Cost of Debt)</t>
  </si>
  <si>
    <t xml:space="preserve">Main File </t>
  </si>
  <si>
    <t xml:space="preserve"> https://colab.research.google.com/drive/1XYfjzsFB79NVlLzT5462v88A9eYmGHsj?userstoinvite=f20230109%40hyderabad.bits-pilani.ac.in&amp;sharingaction=manageaccess&amp;role=writer#scrollTo=gB7Ltjtyw5-h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</si>
</sst>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mm/dd/yyyy"/>
    <numFmt numFmtId="166" formatCode="mmm\ dd\,\ yyyy"/>
    <numFmt numFmtId="167" formatCode="mmmm\ dd\,\ yyyy"/>
    <numFmt numFmtId="168" formatCode="yyyy&quot;-&quot;mm&quot;-&quot;dd"/>
  </numFmts>
  <fonts count="2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1F1F1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2"/>
      <color rgb="FF333333"/>
      <name val="Arial"/>
      <scheme val="minor"/>
    </font>
    <font>
      <b/>
      <sz val="11"/>
      <color theme="1"/>
      <name val="Calibri"/>
    </font>
    <font>
      <b/>
      <sz val="12"/>
      <color rgb="FF232526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</font>
    <font>
      <sz val="10"/>
      <color rgb="FFFFFFFF"/>
      <name val="Arial"/>
      <scheme val="minor"/>
    </font>
    <font>
      <sz val="10"/>
      <color rgb="FFFFFFFF"/>
      <name val="Arial"/>
    </font>
    <font>
      <b/>
      <i/>
      <sz val="10"/>
      <color theme="1"/>
      <name val="Arial"/>
    </font>
    <font>
      <b/>
      <sz val="10"/>
      <color theme="1"/>
      <name val="Calibri"/>
    </font>
    <font>
      <sz val="8"/>
      <color theme="1"/>
      <name val="Calibri"/>
    </font>
    <font>
      <b/>
      <sz val="8"/>
      <color theme="1"/>
      <name val="Calibri"/>
    </font>
    <font>
      <sz val="11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  <diagonal/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2" borderId="0" xfId="0" applyFont="1" applyFill="1" applyAlignment="1">
      <alignment horizontal="right"/>
    </xf>
    <xf numFmtId="0" fontId="2" fillId="4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applyFont="1" applyFill="1"/>
    <xf numFmtId="0" fontId="1" fillId="6" borderId="0" xfId="0" applyFont="1" applyFill="1"/>
    <xf numFmtId="0" fontId="2" fillId="7" borderId="0" xfId="0" applyFont="1" applyFill="1"/>
    <xf numFmtId="0" fontId="3" fillId="0" borderId="0" xfId="0" applyFont="1"/>
    <xf numFmtId="0" fontId="2" fillId="0" borderId="0" xfId="0" applyFont="1"/>
    <xf numFmtId="0" fontId="2" fillId="6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2" borderId="0" xfId="0" applyFont="1" applyFill="1"/>
    <xf numFmtId="0" fontId="2" fillId="10" borderId="0" xfId="0" applyFont="1" applyFill="1"/>
    <xf numFmtId="164" fontId="2" fillId="11" borderId="0" xfId="0" applyNumberFormat="1" applyFont="1" applyFill="1"/>
    <xf numFmtId="0" fontId="4" fillId="5" borderId="0" xfId="0" applyFont="1" applyFill="1" applyAlignment="1">
      <alignment horizontal="right"/>
    </xf>
    <xf numFmtId="0" fontId="5" fillId="0" borderId="0" xfId="0" applyFont="1"/>
    <xf numFmtId="165" fontId="2" fillId="11" borderId="0" xfId="0" applyNumberFormat="1" applyFont="1" applyFill="1"/>
    <xf numFmtId="0" fontId="2" fillId="5" borderId="0" xfId="0" applyFont="1" applyFill="1"/>
    <xf numFmtId="0" fontId="6" fillId="5" borderId="0" xfId="0" applyFont="1" applyFill="1"/>
    <xf numFmtId="0" fontId="6" fillId="0" borderId="0" xfId="0" applyFont="1"/>
    <xf numFmtId="0" fontId="1" fillId="0" borderId="0" xfId="0" applyFont="1"/>
    <xf numFmtId="0" fontId="7" fillId="9" borderId="1" xfId="0" applyFont="1" applyFill="1" applyBorder="1"/>
    <xf numFmtId="0" fontId="7" fillId="9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166" fontId="9" fillId="11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167" fontId="9" fillId="11" borderId="1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5" borderId="0" xfId="0" applyFont="1" applyFill="1"/>
    <xf numFmtId="0" fontId="13" fillId="5" borderId="0" xfId="0" applyFont="1" applyFill="1" applyAlignment="1">
      <alignment horizontal="right"/>
    </xf>
    <xf numFmtId="0" fontId="15" fillId="0" borderId="0" xfId="0" applyFont="1"/>
    <xf numFmtId="10" fontId="13" fillId="5" borderId="0" xfId="0" applyNumberFormat="1" applyFont="1" applyFill="1" applyAlignment="1">
      <alignment horizontal="right"/>
    </xf>
    <xf numFmtId="0" fontId="12" fillId="5" borderId="0" xfId="0" applyFont="1" applyFill="1"/>
    <xf numFmtId="3" fontId="13" fillId="5" borderId="0" xfId="0" applyNumberFormat="1" applyFont="1" applyFill="1" applyAlignment="1">
      <alignment horizontal="right"/>
    </xf>
    <xf numFmtId="0" fontId="6" fillId="12" borderId="0" xfId="0" applyFont="1" applyFill="1"/>
    <xf numFmtId="0" fontId="1" fillId="12" borderId="0" xfId="0" applyFont="1" applyFill="1"/>
    <xf numFmtId="0" fontId="16" fillId="0" borderId="0" xfId="0" applyFont="1"/>
    <xf numFmtId="0" fontId="1" fillId="0" borderId="0" xfId="0" applyFont="1" applyAlignment="1">
      <alignment horizontal="right"/>
    </xf>
    <xf numFmtId="0" fontId="1" fillId="6" borderId="4" xfId="0" applyFont="1" applyFill="1" applyBorder="1"/>
    <xf numFmtId="0" fontId="17" fillId="6" borderId="1" xfId="0" applyFont="1" applyFill="1" applyBorder="1" applyAlignment="1">
      <alignment horizontal="center" vertical="top"/>
    </xf>
    <xf numFmtId="0" fontId="17" fillId="10" borderId="1" xfId="0" applyFont="1" applyFill="1" applyBorder="1" applyAlignment="1">
      <alignment horizontal="center" vertical="top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" fillId="9" borderId="0" xfId="0" applyFont="1" applyFill="1" applyAlignment="1">
      <alignment horizontal="right"/>
    </xf>
    <xf numFmtId="10" fontId="1" fillId="9" borderId="0" xfId="0" applyNumberFormat="1" applyFont="1" applyFill="1" applyAlignment="1">
      <alignment horizontal="right"/>
    </xf>
    <xf numFmtId="9" fontId="1" fillId="9" borderId="0" xfId="0" applyNumberFormat="1" applyFont="1" applyFill="1" applyAlignment="1">
      <alignment horizontal="right"/>
    </xf>
    <xf numFmtId="10" fontId="2" fillId="9" borderId="0" xfId="0" applyNumberFormat="1" applyFont="1" applyFill="1"/>
    <xf numFmtId="10" fontId="1" fillId="5" borderId="0" xfId="0" applyNumberFormat="1" applyFont="1" applyFill="1" applyAlignment="1">
      <alignment horizontal="right"/>
    </xf>
    <xf numFmtId="0" fontId="19" fillId="5" borderId="1" xfId="0" applyFont="1" applyFill="1" applyBorder="1" applyAlignment="1">
      <alignment horizontal="center" vertical="top"/>
    </xf>
    <xf numFmtId="0" fontId="1" fillId="5" borderId="0" xfId="0" applyFont="1" applyFill="1" applyAlignment="1">
      <alignment vertical="top"/>
    </xf>
    <xf numFmtId="0" fontId="20" fillId="5" borderId="0" xfId="0" applyFont="1" applyFill="1" applyAlignment="1">
      <alignment horizontal="right"/>
    </xf>
    <xf numFmtId="168" fontId="1" fillId="5" borderId="1" xfId="0" applyNumberFormat="1" applyFont="1" applyFill="1" applyBorder="1" applyAlignment="1">
      <alignment vertical="top"/>
    </xf>
    <xf numFmtId="10" fontId="6" fillId="5" borderId="0" xfId="0" applyNumberFormat="1" applyFont="1" applyFill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5" borderId="0" xfId="0" applyFont="1" applyFill="1" applyAlignment="1">
      <alignment horizontal="center"/>
    </xf>
    <xf numFmtId="0" fontId="0" fillId="0" borderId="0" xfId="0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26B8-4FC0-BFD4-3225ABE4115B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6B8-4FC0-BFD4-3225ABE4115B}"/>
              </c:ext>
            </c:extLst>
          </c:dPt>
          <c:cat>
            <c:strRef>
              <c:f>'WACC Using Top Down Approach'!$A$20:$A$21</c:f>
              <c:strCache>
                <c:ptCount val="2"/>
                <c:pt idx="0">
                  <c:v>E/V for GRASIM</c:v>
                </c:pt>
                <c:pt idx="1">
                  <c:v>D/V for GRASIM</c:v>
                </c:pt>
              </c:strCache>
            </c:strRef>
          </c:cat>
          <c:val>
            <c:numRef>
              <c:f>'WACC Using Top Down Approach'!$B$20:$B$21</c:f>
              <c:numCache>
                <c:formatCode>General</c:formatCode>
                <c:ptCount val="2"/>
                <c:pt idx="0">
                  <c:v>0.99</c:v>
                </c:pt>
                <c:pt idx="1">
                  <c:v>0.46100000000000002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B8-4FC0-BFD4-3225ABE41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'WACC Using Top Down Approach'!$A$29:$A$31</c:f>
              <c:strCache>
                <c:ptCount val="3"/>
                <c:pt idx="0">
                  <c:v>Cost of Equity Capital</c:v>
                </c:pt>
                <c:pt idx="1">
                  <c:v>Pre Tax Cost of debt</c:v>
                </c:pt>
                <c:pt idx="2">
                  <c:v>WACC</c:v>
                </c:pt>
              </c:strCache>
            </c:strRef>
          </c:cat>
          <c:val>
            <c:numRef>
              <c:f>'WACC Using Top Down Approach'!$B$29:$B$31</c:f>
              <c:numCache>
                <c:formatCode>0.00%</c:formatCode>
                <c:ptCount val="3"/>
                <c:pt idx="0">
                  <c:v>0.19389999999999999</c:v>
                </c:pt>
                <c:pt idx="1">
                  <c:v>8.3000000000000004E-2</c:v>
                </c:pt>
                <c:pt idx="2">
                  <c:v>0.22009999999999999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B5-4D6D-A9E9-D04B718EA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1331167"/>
        <c:axId val="1812722249"/>
      </c:barChart>
      <c:catAx>
        <c:axId val="1241331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2722249"/>
        <c:crosses val="autoZero"/>
        <c:auto val="1"/>
        <c:lblAlgn val="ctr"/>
        <c:lblOffset val="100"/>
        <c:noMultiLvlLbl val="1"/>
      </c:catAx>
      <c:valAx>
        <c:axId val="1812722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13311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'WACC Using Bottom Up Approach '!$A$43:$A$45</c:f>
              <c:strCache>
                <c:ptCount val="3"/>
                <c:pt idx="0">
                  <c:v>Cost of Equity Capital</c:v>
                </c:pt>
                <c:pt idx="1">
                  <c:v>WACC</c:v>
                </c:pt>
                <c:pt idx="2">
                  <c:v>Pre Tax Cost of debt</c:v>
                </c:pt>
              </c:strCache>
            </c:strRef>
          </c:cat>
          <c:val>
            <c:numRef>
              <c:f>'WACC Using Bottom Up Approach '!$B$43:$B$45</c:f>
              <c:numCache>
                <c:formatCode>0.00%</c:formatCode>
                <c:ptCount val="3"/>
                <c:pt idx="0">
                  <c:v>0.177537</c:v>
                </c:pt>
                <c:pt idx="1">
                  <c:v>0.1434</c:v>
                </c:pt>
                <c:pt idx="2">
                  <c:v>8.3000000000000004E-2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24-43D6-9843-EDE7696BF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2006059"/>
        <c:axId val="1576748556"/>
      </c:barChart>
      <c:catAx>
        <c:axId val="1402006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6748556"/>
        <c:crosses val="autoZero"/>
        <c:auto val="1"/>
        <c:lblAlgn val="ctr"/>
        <c:lblOffset val="100"/>
        <c:noMultiLvlLbl val="1"/>
      </c:catAx>
      <c:valAx>
        <c:axId val="15767485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20060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'WACC Using Bottom Up Approach '!$A$35:$A$39</c:f>
              <c:strCache>
                <c:ptCount val="5"/>
                <c:pt idx="0">
                  <c:v>NSE: GRASIM</c:v>
                </c:pt>
                <c:pt idx="1">
                  <c:v>NSE: ITC </c:v>
                </c:pt>
                <c:pt idx="2">
                  <c:v>NSE: SRF</c:v>
                </c:pt>
                <c:pt idx="3">
                  <c:v>NSE: LINDE INDIA </c:v>
                </c:pt>
                <c:pt idx="4">
                  <c:v>NSE: 3M INDIA</c:v>
                </c:pt>
              </c:strCache>
            </c:strRef>
          </c:cat>
          <c:val>
            <c:numRef>
              <c:f>'WACC Using Bottom Up Approach '!$B$35:$B$39</c:f>
              <c:numCache>
                <c:formatCode>General</c:formatCode>
                <c:ptCount val="5"/>
                <c:pt idx="0">
                  <c:v>1.0636000000000001</c:v>
                </c:pt>
                <c:pt idx="1">
                  <c:v>0.84340000000000004</c:v>
                </c:pt>
                <c:pt idx="2">
                  <c:v>9.9400000000000002E-2</c:v>
                </c:pt>
                <c:pt idx="3">
                  <c:v>0.44429999999999997</c:v>
                </c:pt>
                <c:pt idx="4">
                  <c:v>0.91879999999999995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19-4AAB-97E5-AED384CAB040}"/>
            </c:ext>
          </c:extLst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'WACC Using Bottom Up Approach '!$A$35:$A$39</c:f>
              <c:strCache>
                <c:ptCount val="5"/>
                <c:pt idx="0">
                  <c:v>NSE: GRASIM</c:v>
                </c:pt>
                <c:pt idx="1">
                  <c:v>NSE: ITC </c:v>
                </c:pt>
                <c:pt idx="2">
                  <c:v>NSE: SRF</c:v>
                </c:pt>
                <c:pt idx="3">
                  <c:v>NSE: LINDE INDIA </c:v>
                </c:pt>
                <c:pt idx="4">
                  <c:v>NSE: 3M INDIA</c:v>
                </c:pt>
              </c:strCache>
            </c:strRef>
          </c:cat>
          <c:val>
            <c:numRef>
              <c:f>'WACC Using Bottom Up Approach '!$C$35:$C$39</c:f>
              <c:numCache>
                <c:formatCode>General</c:formatCode>
                <c:ptCount val="5"/>
                <c:pt idx="0">
                  <c:v>0.46751648351648356</c:v>
                </c:pt>
                <c:pt idx="1">
                  <c:v>0.84340000000000004</c:v>
                </c:pt>
                <c:pt idx="2">
                  <c:v>7.4736842105263157E-2</c:v>
                </c:pt>
                <c:pt idx="3">
                  <c:v>0.44099255583126545</c:v>
                </c:pt>
                <c:pt idx="4">
                  <c:v>0.91196029776674925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C19-4AAB-97E5-AED384CAB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1039061"/>
        <c:axId val="454151873"/>
      </c:barChart>
      <c:catAx>
        <c:axId val="911039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4151873"/>
        <c:crosses val="autoZero"/>
        <c:auto val="1"/>
        <c:lblAlgn val="ctr"/>
        <c:lblOffset val="100"/>
        <c:noMultiLvlLbl val="1"/>
      </c:catAx>
      <c:valAx>
        <c:axId val="454151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10390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DB6-4F87-AEFD-C4FBC269695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7DB6-4F87-AEFD-C4FBC2696954}"/>
              </c:ext>
            </c:extLst>
          </c:dPt>
          <c:cat>
            <c:strRef>
              <c:f>'WACC Using Bottom Up Approach '!$E$15:$E$16</c:f>
              <c:strCache>
                <c:ptCount val="2"/>
                <c:pt idx="0">
                  <c:v>D/V for Grasim</c:v>
                </c:pt>
                <c:pt idx="1">
                  <c:v>E/V for Grasim</c:v>
                </c:pt>
              </c:strCache>
            </c:strRef>
          </c:cat>
          <c:val>
            <c:numRef>
              <c:f>'WACC Using Bottom Up Approach '!$F$15:$F$16</c:f>
              <c:numCache>
                <c:formatCode>General</c:formatCode>
                <c:ptCount val="2"/>
                <c:pt idx="0">
                  <c:v>0.99</c:v>
                </c:pt>
                <c:pt idx="1">
                  <c:v>0.46100000000000002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B6-4F87-AEFD-C4FBC2696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76800" cy="449580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67275" cy="4067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76800" cy="41624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76800" cy="43243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76800" cy="44196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323850</xdr:colOff>
      <xdr:row>13</xdr:row>
      <xdr:rowOff>9525</xdr:rowOff>
    </xdr:from>
    <xdr:ext cx="3686175" cy="22764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323850</xdr:colOff>
      <xdr:row>25</xdr:row>
      <xdr:rowOff>28575</xdr:rowOff>
    </xdr:from>
    <xdr:ext cx="3962400" cy="24669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800100</xdr:colOff>
      <xdr:row>35</xdr:row>
      <xdr:rowOff>114300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800100</xdr:colOff>
      <xdr:row>53</xdr:row>
      <xdr:rowOff>161925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28575</xdr:colOff>
      <xdr:row>5</xdr:row>
      <xdr:rowOff>114300</xdr:rowOff>
    </xdr:from>
    <xdr:ext cx="3638550" cy="2247900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lab.research.google.com/drive/1_ExEBAUKAi11xfXo-wdCqRJ7UdkFMydi" TargetMode="External"/><Relationship Id="rId2" Type="http://schemas.openxmlformats.org/officeDocument/2006/relationships/hyperlink" Target="https://colab.research.google.com/drive/10rS7I-njFoVtp_ocVyGtY-3EunSlIvjs" TargetMode="External"/><Relationship Id="rId1" Type="http://schemas.openxmlformats.org/officeDocument/2006/relationships/hyperlink" Target="https://colab.research.google.com/drive/1pHVC1sJAoI2J4IaDRD7mhwrfnvINZSxA" TargetMode="External"/><Relationship Id="rId5" Type="http://schemas.openxmlformats.org/officeDocument/2006/relationships/hyperlink" Target="https://colab.research.google.com/drive/12cihm69Qn4Rem5tv3fMkk864URRBzjIu" TargetMode="External"/><Relationship Id="rId4" Type="http://schemas.openxmlformats.org/officeDocument/2006/relationships/hyperlink" Target="https://colab.research.google.com/drive/1Lra6JKsjnPGGSCSDQXMpHHVwGkCttB4z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5"/>
  <sheetViews>
    <sheetView tabSelected="1" workbookViewId="0">
      <selection activeCell="E17" sqref="E17"/>
    </sheetView>
  </sheetViews>
  <sheetFormatPr defaultColWidth="12.6640625" defaultRowHeight="15.75" customHeight="1" x14ac:dyDescent="0.25"/>
  <cols>
    <col min="1" max="1" width="15.21875" customWidth="1"/>
    <col min="2" max="2" width="101.33203125" customWidth="1"/>
    <col min="3" max="3" width="14.8867187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1</v>
      </c>
      <c r="B2" s="2" t="s">
        <v>3</v>
      </c>
      <c r="C2" s="5" t="s">
        <v>4</v>
      </c>
    </row>
    <row r="3" spans="1:3" x14ac:dyDescent="0.25">
      <c r="A3" s="4">
        <v>2</v>
      </c>
      <c r="B3" s="2" t="s">
        <v>5</v>
      </c>
      <c r="C3" s="5" t="s">
        <v>6</v>
      </c>
    </row>
    <row r="4" spans="1:3" x14ac:dyDescent="0.25">
      <c r="A4" s="4">
        <v>3</v>
      </c>
      <c r="B4" s="2" t="s">
        <v>7</v>
      </c>
      <c r="C4" s="5" t="s">
        <v>8</v>
      </c>
    </row>
    <row r="5" spans="1:3" x14ac:dyDescent="0.25">
      <c r="A5" s="4">
        <v>4</v>
      </c>
      <c r="B5" s="2" t="s">
        <v>9</v>
      </c>
      <c r="C5" s="5" t="s">
        <v>10</v>
      </c>
    </row>
    <row r="6" spans="1:3" x14ac:dyDescent="0.25">
      <c r="A6" s="6"/>
      <c r="B6" s="7"/>
      <c r="C6" s="7"/>
    </row>
    <row r="7" spans="1:3" x14ac:dyDescent="0.25">
      <c r="A7" s="6"/>
      <c r="B7" s="7"/>
      <c r="C7" s="7"/>
    </row>
    <row r="8" spans="1:3" x14ac:dyDescent="0.25">
      <c r="A8" s="2" t="s">
        <v>11</v>
      </c>
      <c r="B8" s="8" t="s">
        <v>12</v>
      </c>
      <c r="C8" s="7"/>
    </row>
    <row r="9" spans="1:3" x14ac:dyDescent="0.25">
      <c r="A9" s="9" t="s">
        <v>13</v>
      </c>
      <c r="B9" s="10" t="s">
        <v>14</v>
      </c>
    </row>
    <row r="10" spans="1:3" x14ac:dyDescent="0.25">
      <c r="A10" s="9" t="s">
        <v>15</v>
      </c>
      <c r="B10" s="10" t="s">
        <v>16</v>
      </c>
    </row>
    <row r="11" spans="1:3" x14ac:dyDescent="0.25">
      <c r="A11" s="9" t="s">
        <v>17</v>
      </c>
      <c r="B11" s="10" t="s">
        <v>18</v>
      </c>
    </row>
    <row r="12" spans="1:3" x14ac:dyDescent="0.25">
      <c r="A12" s="9" t="s">
        <v>19</v>
      </c>
      <c r="B12" s="10" t="s">
        <v>20</v>
      </c>
    </row>
    <row r="13" spans="1:3" x14ac:dyDescent="0.25">
      <c r="A13" s="9" t="s">
        <v>21</v>
      </c>
      <c r="B13" s="10" t="s">
        <v>22</v>
      </c>
    </row>
    <row r="14" spans="1:3" ht="15.75" customHeight="1" x14ac:dyDescent="0.25">
      <c r="A14" s="9" t="s">
        <v>88</v>
      </c>
      <c r="B14" t="s">
        <v>89</v>
      </c>
    </row>
    <row r="15" spans="1:3" x14ac:dyDescent="0.25">
      <c r="A15" s="11" t="s">
        <v>23</v>
      </c>
    </row>
  </sheetData>
  <hyperlinks>
    <hyperlink ref="B9" r:id="rId1" location="scrollTo=5BIUF0royxEh" xr:uid="{00000000-0004-0000-0000-000000000000}"/>
    <hyperlink ref="B10" r:id="rId2" location="scrollTo=JzL4fn_Zme9r" xr:uid="{00000000-0004-0000-0000-000001000000}"/>
    <hyperlink ref="B11" r:id="rId3" location="scrollTo=91FVdzT_fBp-" xr:uid="{00000000-0004-0000-0000-000002000000}"/>
    <hyperlink ref="B12" r:id="rId4" location="scrollTo=bLITOkYcfBpm" xr:uid="{00000000-0004-0000-0000-000003000000}"/>
    <hyperlink ref="B13" r:id="rId5" location="scrollTo=QRZxDiyOfBpw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85"/>
  <sheetViews>
    <sheetView workbookViewId="0"/>
  </sheetViews>
  <sheetFormatPr defaultColWidth="12.6640625" defaultRowHeight="15.75" customHeight="1" x14ac:dyDescent="0.25"/>
  <cols>
    <col min="1" max="1" width="15.6640625" customWidth="1"/>
    <col min="5" max="5" width="20.33203125" customWidth="1"/>
    <col min="10" max="10" width="15.109375" customWidth="1"/>
  </cols>
  <sheetData>
    <row r="1" spans="1:11" x14ac:dyDescent="0.25">
      <c r="A1" s="12" t="s">
        <v>24</v>
      </c>
      <c r="B1" s="13" t="s">
        <v>25</v>
      </c>
      <c r="C1" s="13"/>
      <c r="D1" s="13"/>
      <c r="E1" s="13"/>
      <c r="F1" s="13"/>
      <c r="G1" s="14"/>
      <c r="H1" s="14" t="s">
        <v>26</v>
      </c>
      <c r="I1" s="14"/>
      <c r="J1" s="14"/>
      <c r="K1" s="14"/>
    </row>
    <row r="2" spans="1:11" x14ac:dyDescent="0.25">
      <c r="A2" s="15" t="s">
        <v>27</v>
      </c>
      <c r="B2" s="16" t="s">
        <v>28</v>
      </c>
      <c r="C2" s="16" t="s">
        <v>15</v>
      </c>
      <c r="D2" s="16" t="s">
        <v>29</v>
      </c>
      <c r="E2" s="16" t="s">
        <v>19</v>
      </c>
      <c r="F2" s="16" t="s">
        <v>21</v>
      </c>
      <c r="G2" s="9" t="s">
        <v>28</v>
      </c>
      <c r="H2" s="9" t="s">
        <v>15</v>
      </c>
      <c r="I2" s="9" t="s">
        <v>29</v>
      </c>
      <c r="J2" s="9" t="s">
        <v>19</v>
      </c>
      <c r="K2" s="9" t="s">
        <v>21</v>
      </c>
    </row>
    <row r="3" spans="1:11" x14ac:dyDescent="0.25">
      <c r="A3" s="17">
        <v>43834</v>
      </c>
      <c r="B3" s="18">
        <v>492.42825299999998</v>
      </c>
      <c r="C3" s="18">
        <v>146.59023999999999</v>
      </c>
      <c r="D3" s="18">
        <v>731.12841800000001</v>
      </c>
      <c r="E3" s="18">
        <v>537.16192599999999</v>
      </c>
      <c r="F3" s="18">
        <v>18407.9434</v>
      </c>
      <c r="G3" s="19"/>
      <c r="H3" s="19"/>
      <c r="I3" s="19"/>
      <c r="J3" s="19"/>
      <c r="K3" s="19"/>
    </row>
    <row r="4" spans="1:11" x14ac:dyDescent="0.25">
      <c r="A4" s="17">
        <v>43835</v>
      </c>
      <c r="B4" s="18">
        <v>574.64593500000001</v>
      </c>
      <c r="C4" s="18">
        <v>158.91012599999999</v>
      </c>
      <c r="D4" s="18">
        <v>685.59436000000005</v>
      </c>
      <c r="E4" s="18">
        <v>499.767426</v>
      </c>
      <c r="F4" s="18">
        <v>17363.206999999999</v>
      </c>
      <c r="G4" s="18">
        <v>0.15440499999999999</v>
      </c>
      <c r="H4" s="18">
        <v>8.0697000000000005E-2</v>
      </c>
      <c r="I4" s="18">
        <v>-6.4302999999999999E-2</v>
      </c>
      <c r="J4" s="18">
        <v>-7.2156999999999999E-2</v>
      </c>
      <c r="K4" s="18">
        <v>-5.8429000000000002E-2</v>
      </c>
    </row>
    <row r="5" spans="1:11" x14ac:dyDescent="0.25">
      <c r="A5" s="17">
        <v>43836</v>
      </c>
      <c r="B5" s="18">
        <v>604.392517</v>
      </c>
      <c r="C5" s="18">
        <v>156.736008</v>
      </c>
      <c r="D5" s="18">
        <v>708.90203899999995</v>
      </c>
      <c r="E5" s="18">
        <v>608.13220200000001</v>
      </c>
      <c r="F5" s="18">
        <v>17833.9355</v>
      </c>
      <c r="G5" s="18">
        <v>5.0470000000000001E-2</v>
      </c>
      <c r="H5" s="18">
        <v>-1.3776E-2</v>
      </c>
      <c r="I5" s="18">
        <v>3.3431000000000002E-2</v>
      </c>
      <c r="J5" s="18">
        <v>0.19625000000000001</v>
      </c>
      <c r="K5" s="18">
        <v>2.6749999999999999E-2</v>
      </c>
    </row>
    <row r="6" spans="1:11" x14ac:dyDescent="0.25">
      <c r="A6" s="17">
        <v>43837</v>
      </c>
      <c r="B6" s="18">
        <v>617.412781</v>
      </c>
      <c r="C6" s="18">
        <v>156.333405</v>
      </c>
      <c r="D6" s="18">
        <v>745.75585899999999</v>
      </c>
      <c r="E6" s="18">
        <v>627.67266800000004</v>
      </c>
      <c r="F6" s="18">
        <v>19999.9277</v>
      </c>
      <c r="G6" s="18">
        <v>2.1314E-2</v>
      </c>
      <c r="H6" s="18">
        <v>-2.5720000000000001E-3</v>
      </c>
      <c r="I6" s="18">
        <v>5.0680999999999997E-2</v>
      </c>
      <c r="J6" s="18">
        <v>3.1626000000000001E-2</v>
      </c>
      <c r="K6" s="18">
        <v>0.11462600000000001</v>
      </c>
    </row>
    <row r="7" spans="1:11" x14ac:dyDescent="0.25">
      <c r="A7" s="17">
        <v>43838</v>
      </c>
      <c r="B7" s="18">
        <v>658.18029799999999</v>
      </c>
      <c r="C7" s="18">
        <v>161.789627</v>
      </c>
      <c r="D7" s="18">
        <v>797.02099599999997</v>
      </c>
      <c r="E7" s="18">
        <v>719.62145999999996</v>
      </c>
      <c r="F7" s="18">
        <v>19227.988300000001</v>
      </c>
      <c r="G7" s="18">
        <v>6.3940999999999998E-2</v>
      </c>
      <c r="H7" s="18">
        <v>3.4306000000000003E-2</v>
      </c>
      <c r="I7" s="18">
        <v>6.6481999999999999E-2</v>
      </c>
      <c r="J7" s="18">
        <v>0.136707</v>
      </c>
      <c r="K7" s="18">
        <v>-3.9362000000000001E-2</v>
      </c>
    </row>
    <row r="8" spans="1:11" x14ac:dyDescent="0.25">
      <c r="A8" s="17">
        <v>43839</v>
      </c>
      <c r="B8" s="18">
        <v>730.15210000000002</v>
      </c>
      <c r="C8" s="18">
        <v>145.36515800000001</v>
      </c>
      <c r="D8" s="18">
        <v>813.06677200000001</v>
      </c>
      <c r="E8" s="18">
        <v>770.80334500000004</v>
      </c>
      <c r="F8" s="18">
        <v>17370.7988</v>
      </c>
      <c r="G8" s="18">
        <v>0.10377400000000001</v>
      </c>
      <c r="H8" s="18">
        <v>-0.107048</v>
      </c>
      <c r="I8" s="18">
        <v>1.9931999999999998E-2</v>
      </c>
      <c r="J8" s="18">
        <v>6.8708000000000005E-2</v>
      </c>
      <c r="K8" s="18">
        <v>-0.101576</v>
      </c>
    </row>
    <row r="9" spans="1:11" x14ac:dyDescent="0.25">
      <c r="A9" s="17">
        <v>43840</v>
      </c>
      <c r="B9" s="18">
        <v>763.65741000000003</v>
      </c>
      <c r="C9" s="18">
        <v>139.90443400000001</v>
      </c>
      <c r="D9" s="18">
        <v>869.50744599999996</v>
      </c>
      <c r="E9" s="18">
        <v>831.12207000000001</v>
      </c>
      <c r="F9" s="18">
        <v>17720.166000000001</v>
      </c>
      <c r="G9" s="18">
        <v>4.4866999999999997E-2</v>
      </c>
      <c r="H9" s="18">
        <v>-3.8288999999999997E-2</v>
      </c>
      <c r="I9" s="18">
        <v>6.7113999999999993E-2</v>
      </c>
      <c r="J9" s="18">
        <v>7.5342999999999993E-2</v>
      </c>
      <c r="K9" s="18">
        <v>1.9913E-2</v>
      </c>
    </row>
    <row r="10" spans="1:11" x14ac:dyDescent="0.25">
      <c r="A10" s="17">
        <v>43841</v>
      </c>
      <c r="B10" s="18">
        <v>859.21881099999996</v>
      </c>
      <c r="C10" s="18">
        <v>163.94850199999999</v>
      </c>
      <c r="D10" s="18">
        <v>1010.6292099999999</v>
      </c>
      <c r="E10" s="18">
        <v>907.33026099999995</v>
      </c>
      <c r="F10" s="18">
        <v>20748.478500000001</v>
      </c>
      <c r="G10" s="18">
        <v>0.11790399999999999</v>
      </c>
      <c r="H10" s="18">
        <v>0.15859300000000001</v>
      </c>
      <c r="I10" s="18">
        <v>0.15040100000000001</v>
      </c>
      <c r="J10" s="18">
        <v>8.7730000000000002E-2</v>
      </c>
      <c r="K10" s="18">
        <v>0.15776999999999999</v>
      </c>
    </row>
    <row r="11" spans="1:11" x14ac:dyDescent="0.25">
      <c r="A11" s="17">
        <v>43842</v>
      </c>
      <c r="B11" s="18">
        <v>910.33532700000001</v>
      </c>
      <c r="C11" s="18">
        <v>176.94418300000001</v>
      </c>
      <c r="D11" s="18">
        <v>1097.29846</v>
      </c>
      <c r="E11" s="18">
        <v>968.15741000000003</v>
      </c>
      <c r="F11" s="18">
        <v>19765.132799999999</v>
      </c>
      <c r="G11" s="18">
        <v>5.7790000000000001E-2</v>
      </c>
      <c r="H11" s="18">
        <v>7.6282000000000003E-2</v>
      </c>
      <c r="I11" s="18">
        <v>8.2278000000000004E-2</v>
      </c>
      <c r="J11" s="18">
        <v>6.4888000000000001E-2</v>
      </c>
      <c r="K11" s="18">
        <v>-4.8552999999999999E-2</v>
      </c>
    </row>
    <row r="12" spans="1:11" x14ac:dyDescent="0.25">
      <c r="A12" s="17">
        <v>44197</v>
      </c>
      <c r="B12" s="18">
        <v>1035.7230199999999</v>
      </c>
      <c r="C12" s="18">
        <v>172.07609600000001</v>
      </c>
      <c r="D12" s="18">
        <v>1057.14807</v>
      </c>
      <c r="E12" s="18">
        <v>902.65124500000002</v>
      </c>
      <c r="F12" s="18">
        <v>18181.453099999999</v>
      </c>
      <c r="G12" s="18">
        <v>0.12904199999999999</v>
      </c>
      <c r="H12" s="18">
        <v>-2.7897999999999999E-2</v>
      </c>
      <c r="I12" s="18">
        <v>-3.7275999999999997E-2</v>
      </c>
      <c r="J12" s="18">
        <v>-7.0057999999999995E-2</v>
      </c>
      <c r="K12" s="18">
        <v>-8.3517999999999995E-2</v>
      </c>
    </row>
    <row r="13" spans="1:11" x14ac:dyDescent="0.25">
      <c r="A13" s="17">
        <v>44198</v>
      </c>
      <c r="B13" s="18">
        <v>1178.13318</v>
      </c>
      <c r="C13" s="18">
        <v>172.58406099999999</v>
      </c>
      <c r="D13" s="18">
        <v>1074.3356900000001</v>
      </c>
      <c r="E13" s="18">
        <v>1553.2330300000001</v>
      </c>
      <c r="F13" s="18">
        <v>21664.929700000001</v>
      </c>
      <c r="G13" s="18">
        <v>0.128831</v>
      </c>
      <c r="H13" s="18">
        <v>2.9480000000000001E-3</v>
      </c>
      <c r="I13" s="18">
        <v>1.6128E-2</v>
      </c>
      <c r="J13" s="18">
        <v>0.54275799999999996</v>
      </c>
      <c r="K13" s="18">
        <v>0.175293</v>
      </c>
    </row>
    <row r="14" spans="1:11" x14ac:dyDescent="0.25">
      <c r="A14" s="17">
        <v>44199</v>
      </c>
      <c r="B14" s="18">
        <v>1423.16858</v>
      </c>
      <c r="C14" s="18">
        <v>189.371689</v>
      </c>
      <c r="D14" s="18">
        <v>1068.9716800000001</v>
      </c>
      <c r="E14" s="18">
        <v>1791.4646</v>
      </c>
      <c r="F14" s="18">
        <v>28879.914100000002</v>
      </c>
      <c r="G14" s="18">
        <v>0.18895500000000001</v>
      </c>
      <c r="H14" s="18">
        <v>9.2827000000000007E-2</v>
      </c>
      <c r="I14" s="18">
        <v>-5.0049999999999999E-3</v>
      </c>
      <c r="J14" s="18">
        <v>0.14269499999999999</v>
      </c>
      <c r="K14" s="18">
        <v>0.28745199999999999</v>
      </c>
    </row>
    <row r="15" spans="1:11" x14ac:dyDescent="0.25">
      <c r="A15" s="17">
        <v>44200</v>
      </c>
      <c r="B15" s="18">
        <v>1375.2896699999999</v>
      </c>
      <c r="C15" s="18">
        <v>175.591339</v>
      </c>
      <c r="D15" s="18">
        <v>1270.54492</v>
      </c>
      <c r="E15" s="18">
        <v>1826.5073199999999</v>
      </c>
      <c r="F15" s="18">
        <v>24231.7637</v>
      </c>
      <c r="G15" s="18">
        <v>-3.4221000000000001E-2</v>
      </c>
      <c r="H15" s="18">
        <v>-7.5551999999999994E-2</v>
      </c>
      <c r="I15" s="18">
        <v>0.17274900000000001</v>
      </c>
      <c r="J15" s="18">
        <v>1.9372E-2</v>
      </c>
      <c r="K15" s="18">
        <v>-0.175482</v>
      </c>
    </row>
    <row r="16" spans="1:11" x14ac:dyDescent="0.25">
      <c r="A16" s="17">
        <v>44201</v>
      </c>
      <c r="B16" s="18">
        <v>1443.4287099999999</v>
      </c>
      <c r="C16" s="18">
        <v>187.72499099999999</v>
      </c>
      <c r="D16" s="18">
        <v>1286.75488</v>
      </c>
      <c r="E16" s="18">
        <v>1591.4616699999999</v>
      </c>
      <c r="F16" s="18">
        <v>24230.0586</v>
      </c>
      <c r="G16" s="18">
        <v>4.8356999999999997E-2</v>
      </c>
      <c r="H16" s="18">
        <v>6.6819000000000003E-2</v>
      </c>
      <c r="I16" s="18">
        <v>1.2678E-2</v>
      </c>
      <c r="J16" s="18">
        <v>-0.13775299999999999</v>
      </c>
      <c r="K16" s="18">
        <v>-6.9999999999999994E-5</v>
      </c>
    </row>
    <row r="17" spans="1:11" x14ac:dyDescent="0.25">
      <c r="A17" s="17">
        <v>44202</v>
      </c>
      <c r="B17" s="18">
        <v>1470.45874</v>
      </c>
      <c r="C17" s="18">
        <v>175.678009</v>
      </c>
      <c r="D17" s="18">
        <v>1437.4063699999999</v>
      </c>
      <c r="E17" s="18">
        <v>1637.6544200000001</v>
      </c>
      <c r="F17" s="18">
        <v>23087.070299999999</v>
      </c>
      <c r="G17" s="18">
        <v>1.8553E-2</v>
      </c>
      <c r="H17" s="18">
        <v>-6.6324999999999995E-2</v>
      </c>
      <c r="I17" s="18">
        <v>0.110717</v>
      </c>
      <c r="J17" s="18">
        <v>2.8611999999999999E-2</v>
      </c>
      <c r="K17" s="18">
        <v>-4.8321000000000003E-2</v>
      </c>
    </row>
    <row r="18" spans="1:11" x14ac:dyDescent="0.25">
      <c r="A18" s="17">
        <v>44203</v>
      </c>
      <c r="B18" s="18">
        <v>1522.0658000000001</v>
      </c>
      <c r="C18" s="18">
        <v>182.56813</v>
      </c>
      <c r="D18" s="18">
        <v>1710.6353799999999</v>
      </c>
      <c r="E18" s="18">
        <v>1747.9411600000001</v>
      </c>
      <c r="F18" s="18">
        <v>23399.574199999999</v>
      </c>
      <c r="G18" s="18">
        <v>3.4493999999999997E-2</v>
      </c>
      <c r="H18" s="18">
        <v>3.8470999999999998E-2</v>
      </c>
      <c r="I18" s="18">
        <v>0.17402500000000001</v>
      </c>
      <c r="J18" s="18">
        <v>6.5173999999999996E-2</v>
      </c>
      <c r="K18" s="18">
        <v>1.3445E-2</v>
      </c>
    </row>
    <row r="19" spans="1:11" x14ac:dyDescent="0.25">
      <c r="A19" s="17">
        <v>44204</v>
      </c>
      <c r="B19" s="18">
        <v>1472.07764</v>
      </c>
      <c r="C19" s="18">
        <v>188.22470100000001</v>
      </c>
      <c r="D19" s="18">
        <v>2003.2356</v>
      </c>
      <c r="E19" s="18">
        <v>2284.6564899999998</v>
      </c>
      <c r="F19" s="18">
        <v>23143.904299999998</v>
      </c>
      <c r="G19" s="18">
        <v>-3.3394E-2</v>
      </c>
      <c r="H19" s="18">
        <v>3.0512999999999998E-2</v>
      </c>
      <c r="I19" s="18">
        <v>0.15789900000000001</v>
      </c>
      <c r="J19" s="18">
        <v>0.26777699999999999</v>
      </c>
      <c r="K19" s="18">
        <v>-1.0985999999999999E-2</v>
      </c>
    </row>
    <row r="20" spans="1:11" x14ac:dyDescent="0.25">
      <c r="A20" s="17">
        <v>44205</v>
      </c>
      <c r="B20" s="18">
        <v>1642.30908</v>
      </c>
      <c r="C20" s="18">
        <v>210.36088599999999</v>
      </c>
      <c r="D20" s="18">
        <v>2231.2924800000001</v>
      </c>
      <c r="E20" s="18">
        <v>2597.7490200000002</v>
      </c>
      <c r="F20" s="18">
        <v>23562.398399999998</v>
      </c>
      <c r="G20" s="18">
        <v>0.109428</v>
      </c>
      <c r="H20" s="18">
        <v>0.111188</v>
      </c>
      <c r="I20" s="18">
        <v>0.107818</v>
      </c>
      <c r="J20" s="18">
        <v>0.12842999999999999</v>
      </c>
      <c r="K20" s="18">
        <v>1.7920999999999999E-2</v>
      </c>
    </row>
    <row r="21" spans="1:11" x14ac:dyDescent="0.25">
      <c r="A21" s="17">
        <v>44206</v>
      </c>
      <c r="B21" s="18">
        <v>1693.1192599999999</v>
      </c>
      <c r="C21" s="18">
        <v>198.82515000000001</v>
      </c>
      <c r="D21" s="18">
        <v>2094.2788099999998</v>
      </c>
      <c r="E21" s="18">
        <v>2298.6206099999999</v>
      </c>
      <c r="F21" s="18">
        <v>24101.535199999998</v>
      </c>
      <c r="G21" s="18">
        <v>3.0469E-2</v>
      </c>
      <c r="H21" s="18">
        <v>-5.6398999999999998E-2</v>
      </c>
      <c r="I21" s="18">
        <v>-6.3371999999999998E-2</v>
      </c>
      <c r="J21" s="18">
        <v>-0.122336</v>
      </c>
      <c r="K21" s="18">
        <v>2.2623000000000001E-2</v>
      </c>
    </row>
    <row r="22" spans="1:11" x14ac:dyDescent="0.25">
      <c r="A22" s="17">
        <v>44207</v>
      </c>
      <c r="B22" s="18">
        <v>1635.4228499999999</v>
      </c>
      <c r="C22" s="18">
        <v>196.99899300000001</v>
      </c>
      <c r="D22" s="18">
        <v>1984.04053</v>
      </c>
      <c r="E22" s="18">
        <v>2501.7966299999998</v>
      </c>
      <c r="F22" s="18">
        <v>23753.970700000002</v>
      </c>
      <c r="G22" s="18">
        <v>-3.4671E-2</v>
      </c>
      <c r="H22" s="18">
        <v>-9.2270000000000008E-3</v>
      </c>
      <c r="I22" s="18">
        <v>-5.4073999999999997E-2</v>
      </c>
      <c r="J22" s="18">
        <v>8.4699999999999998E-2</v>
      </c>
      <c r="K22" s="18">
        <v>-1.4526000000000001E-2</v>
      </c>
    </row>
    <row r="23" spans="1:11" x14ac:dyDescent="0.25">
      <c r="A23" s="17">
        <v>44208</v>
      </c>
      <c r="B23" s="18">
        <v>1595.8764699999999</v>
      </c>
      <c r="C23" s="18">
        <v>194.237549</v>
      </c>
      <c r="D23" s="18">
        <v>2393.7866199999999</v>
      </c>
      <c r="E23" s="18">
        <v>2480.9504400000001</v>
      </c>
      <c r="F23" s="18">
        <v>24063.6777</v>
      </c>
      <c r="G23" s="18">
        <v>-2.4478E-2</v>
      </c>
      <c r="H23" s="18">
        <v>-1.4116999999999999E-2</v>
      </c>
      <c r="I23" s="18">
        <v>0.18774099999999999</v>
      </c>
      <c r="J23" s="18">
        <v>-8.3669999999999994E-3</v>
      </c>
      <c r="K23" s="18">
        <v>1.2954E-2</v>
      </c>
    </row>
    <row r="24" spans="1:11" x14ac:dyDescent="0.25">
      <c r="A24" s="17">
        <v>44562</v>
      </c>
      <c r="B24" s="18">
        <v>1699.4152799999999</v>
      </c>
      <c r="C24" s="18">
        <v>196.15275600000001</v>
      </c>
      <c r="D24" s="18">
        <v>2380.6308600000002</v>
      </c>
      <c r="E24" s="18">
        <v>2727.2150900000001</v>
      </c>
      <c r="F24" s="18">
        <v>23711.748</v>
      </c>
      <c r="G24" s="18">
        <v>6.2861E-2</v>
      </c>
      <c r="H24" s="18">
        <v>9.8119999999999995E-3</v>
      </c>
      <c r="I24" s="18">
        <v>-5.5110000000000003E-3</v>
      </c>
      <c r="J24" s="18">
        <v>9.4639000000000001E-2</v>
      </c>
      <c r="K24" s="18">
        <v>-1.4733E-2</v>
      </c>
    </row>
    <row r="25" spans="1:11" x14ac:dyDescent="0.25">
      <c r="A25" s="17">
        <v>44563</v>
      </c>
      <c r="B25" s="18">
        <v>1572.5124499999999</v>
      </c>
      <c r="C25" s="18">
        <v>192.27780200000001</v>
      </c>
      <c r="D25" s="18">
        <v>2357.7329100000002</v>
      </c>
      <c r="E25" s="18">
        <v>2742.9743699999999</v>
      </c>
      <c r="F25" s="18">
        <v>20123.658200000002</v>
      </c>
      <c r="G25" s="18">
        <v>-7.7609999999999998E-2</v>
      </c>
      <c r="H25" s="18">
        <v>-1.9952000000000001E-2</v>
      </c>
      <c r="I25" s="18">
        <v>-9.665E-3</v>
      </c>
      <c r="J25" s="18">
        <v>5.7619999999999998E-3</v>
      </c>
      <c r="K25" s="18">
        <v>-0.164074</v>
      </c>
    </row>
    <row r="26" spans="1:11" x14ac:dyDescent="0.25">
      <c r="A26" s="17">
        <v>44564</v>
      </c>
      <c r="B26" s="18">
        <v>1636.9476299999999</v>
      </c>
      <c r="C26" s="18">
        <v>228.436768</v>
      </c>
      <c r="D26" s="18">
        <v>2655.3584000000001</v>
      </c>
      <c r="E26" s="18">
        <v>3775.1618699999999</v>
      </c>
      <c r="F26" s="18">
        <v>18689.847699999998</v>
      </c>
      <c r="G26" s="18">
        <v>4.0159E-2</v>
      </c>
      <c r="H26" s="18">
        <v>0.172318</v>
      </c>
      <c r="I26" s="18">
        <v>0.118879</v>
      </c>
      <c r="J26" s="18">
        <v>0.31940000000000002</v>
      </c>
      <c r="K26" s="18">
        <v>-7.3915999999999996E-2</v>
      </c>
    </row>
    <row r="27" spans="1:11" x14ac:dyDescent="0.25">
      <c r="A27" s="17">
        <v>44565</v>
      </c>
      <c r="B27" s="18">
        <v>1664.78748</v>
      </c>
      <c r="C27" s="18">
        <v>236.548035</v>
      </c>
      <c r="D27" s="18">
        <v>2490.2006799999999</v>
      </c>
      <c r="E27" s="18">
        <v>3572.4348100000002</v>
      </c>
      <c r="F27" s="18">
        <v>18943.4277</v>
      </c>
      <c r="G27" s="18">
        <v>1.6864000000000001E-2</v>
      </c>
      <c r="H27" s="18">
        <v>3.4891999999999999E-2</v>
      </c>
      <c r="I27" s="18">
        <v>-6.4215999999999995E-2</v>
      </c>
      <c r="J27" s="18">
        <v>-5.5196000000000002E-2</v>
      </c>
      <c r="K27" s="18">
        <v>1.3476999999999999E-2</v>
      </c>
    </row>
    <row r="28" spans="1:11" x14ac:dyDescent="0.25">
      <c r="A28" s="17">
        <v>44566</v>
      </c>
      <c r="B28" s="18">
        <v>1405.3747599999999</v>
      </c>
      <c r="C28" s="18">
        <v>246.66433699999999</v>
      </c>
      <c r="D28" s="18">
        <v>2441.9863300000002</v>
      </c>
      <c r="E28" s="18">
        <v>2985.29907</v>
      </c>
      <c r="F28" s="18">
        <v>19160.953099999999</v>
      </c>
      <c r="G28" s="18">
        <v>-0.16939399999999999</v>
      </c>
      <c r="H28" s="18">
        <v>4.1876999999999998E-2</v>
      </c>
      <c r="I28" s="18">
        <v>-1.9552E-2</v>
      </c>
      <c r="J28" s="18">
        <v>-0.17954700000000001</v>
      </c>
      <c r="K28" s="18">
        <v>1.1417E-2</v>
      </c>
    </row>
    <row r="29" spans="1:11" x14ac:dyDescent="0.25">
      <c r="A29" s="17">
        <v>44567</v>
      </c>
      <c r="B29" s="18">
        <v>1299.2779499999999</v>
      </c>
      <c r="C29" s="18">
        <v>255.10858200000001</v>
      </c>
      <c r="D29" s="18">
        <v>2232.0331999999999</v>
      </c>
      <c r="E29" s="18">
        <v>3189.92139</v>
      </c>
      <c r="F29" s="18">
        <v>20736.287100000001</v>
      </c>
      <c r="G29" s="18">
        <v>-7.8494999999999995E-2</v>
      </c>
      <c r="H29" s="18">
        <v>3.3661000000000003E-2</v>
      </c>
      <c r="I29" s="18">
        <v>-8.9899000000000007E-2</v>
      </c>
      <c r="J29" s="18">
        <v>6.6295999999999994E-2</v>
      </c>
      <c r="K29" s="18">
        <v>7.9010999999999998E-2</v>
      </c>
    </row>
    <row r="30" spans="1:11" x14ac:dyDescent="0.25">
      <c r="A30" s="17">
        <v>44568</v>
      </c>
      <c r="B30" s="18">
        <v>1547.4269999999999</v>
      </c>
      <c r="C30" s="18">
        <v>282.67147799999998</v>
      </c>
      <c r="D30" s="18">
        <v>2406.5566399999998</v>
      </c>
      <c r="E30" s="18">
        <v>3634.1862799999999</v>
      </c>
      <c r="F30" s="18">
        <v>21579.580099999999</v>
      </c>
      <c r="G30" s="18">
        <v>0.174785</v>
      </c>
      <c r="H30" s="18">
        <v>0.10259600000000001</v>
      </c>
      <c r="I30" s="18">
        <v>7.5284000000000004E-2</v>
      </c>
      <c r="J30" s="18">
        <v>0.130389</v>
      </c>
      <c r="K30" s="18">
        <v>3.9862000000000002E-2</v>
      </c>
    </row>
    <row r="31" spans="1:11" x14ac:dyDescent="0.25">
      <c r="A31" s="17">
        <v>44569</v>
      </c>
      <c r="B31" s="18">
        <v>1651.3593800000001</v>
      </c>
      <c r="C31" s="18">
        <v>298.948059</v>
      </c>
      <c r="D31" s="18">
        <v>2524.4043000000001</v>
      </c>
      <c r="E31" s="18">
        <v>3424.2817399999999</v>
      </c>
      <c r="F31" s="18">
        <v>22121.896499999999</v>
      </c>
      <c r="G31" s="18">
        <v>6.5004999999999993E-2</v>
      </c>
      <c r="H31" s="18">
        <v>5.5983999999999999E-2</v>
      </c>
      <c r="I31" s="18">
        <v>4.7808000000000003E-2</v>
      </c>
      <c r="J31" s="18">
        <v>-5.9492999999999997E-2</v>
      </c>
      <c r="K31" s="18">
        <v>2.4819999999999998E-2</v>
      </c>
    </row>
    <row r="32" spans="1:11" x14ac:dyDescent="0.25">
      <c r="A32" s="17">
        <v>44570</v>
      </c>
      <c r="B32" s="18">
        <v>1652.7511</v>
      </c>
      <c r="C32" s="18">
        <v>309.86132800000001</v>
      </c>
      <c r="D32" s="18">
        <v>2484.7524400000002</v>
      </c>
      <c r="E32" s="18">
        <v>3307.1464799999999</v>
      </c>
      <c r="F32" s="18">
        <v>23347.767599999999</v>
      </c>
      <c r="G32" s="18">
        <v>8.4199999999999998E-4</v>
      </c>
      <c r="H32" s="18">
        <v>3.5854999999999998E-2</v>
      </c>
      <c r="I32" s="18">
        <v>-1.5831999999999999E-2</v>
      </c>
      <c r="J32" s="18">
        <v>-3.4805999999999997E-2</v>
      </c>
      <c r="K32" s="18">
        <v>5.3934000000000003E-2</v>
      </c>
    </row>
    <row r="33" spans="1:11" x14ac:dyDescent="0.25">
      <c r="A33" s="17">
        <v>44571</v>
      </c>
      <c r="B33" s="18">
        <v>1698.9829099999999</v>
      </c>
      <c r="C33" s="18">
        <v>325.25177000000002</v>
      </c>
      <c r="D33" s="18">
        <v>2539.5400399999999</v>
      </c>
      <c r="E33" s="18">
        <v>3067.3837899999999</v>
      </c>
      <c r="F33" s="18">
        <v>22097.1777</v>
      </c>
      <c r="G33" s="18">
        <v>2.7588999999999999E-2</v>
      </c>
      <c r="H33" s="18">
        <v>4.8474999999999997E-2</v>
      </c>
      <c r="I33" s="18">
        <v>2.181E-2</v>
      </c>
      <c r="J33" s="18">
        <v>-7.5260999999999995E-2</v>
      </c>
      <c r="K33" s="18">
        <v>-5.5051000000000003E-2</v>
      </c>
    </row>
    <row r="34" spans="1:11" x14ac:dyDescent="0.25">
      <c r="A34" s="17">
        <v>44572</v>
      </c>
      <c r="B34" s="18">
        <v>1736.53088</v>
      </c>
      <c r="C34" s="18">
        <v>317.13677999999999</v>
      </c>
      <c r="D34" s="18">
        <v>2348.03125</v>
      </c>
      <c r="E34" s="18">
        <v>3046.3134799999998</v>
      </c>
      <c r="F34" s="18">
        <v>22159.044900000001</v>
      </c>
      <c r="G34" s="18">
        <v>2.1860000000000001E-2</v>
      </c>
      <c r="H34" s="18">
        <v>-2.5266E-2</v>
      </c>
      <c r="I34" s="18">
        <v>-7.8406000000000003E-2</v>
      </c>
      <c r="J34" s="18">
        <v>-6.8929999999999998E-3</v>
      </c>
      <c r="K34" s="18">
        <v>2.7959999999999999E-3</v>
      </c>
    </row>
    <row r="35" spans="1:11" x14ac:dyDescent="0.25">
      <c r="A35" s="17">
        <v>44573</v>
      </c>
      <c r="B35" s="18">
        <v>1700.75928</v>
      </c>
      <c r="C35" s="18">
        <v>309.254974</v>
      </c>
      <c r="D35" s="18">
        <v>2273.2443899999998</v>
      </c>
      <c r="E35" s="18">
        <v>3429.9235800000001</v>
      </c>
      <c r="F35" s="18">
        <v>21574.962899999999</v>
      </c>
      <c r="G35" s="18">
        <v>-2.0815E-2</v>
      </c>
      <c r="H35" s="18">
        <v>-2.5166999999999998E-2</v>
      </c>
      <c r="I35" s="18">
        <v>-3.2369000000000002E-2</v>
      </c>
      <c r="J35" s="18">
        <v>0.118606</v>
      </c>
      <c r="K35" s="18">
        <v>-2.6712E-2</v>
      </c>
    </row>
    <row r="36" spans="1:11" x14ac:dyDescent="0.25">
      <c r="A36" s="17">
        <v>44927</v>
      </c>
      <c r="B36" s="18">
        <v>1569.21802</v>
      </c>
      <c r="C36" s="18">
        <v>328.65631100000002</v>
      </c>
      <c r="D36" s="18">
        <v>2166.1501499999999</v>
      </c>
      <c r="E36" s="18">
        <v>3316.1838400000001</v>
      </c>
      <c r="F36" s="18">
        <v>22937.660199999998</v>
      </c>
      <c r="G36" s="18">
        <v>-8.0496999999999999E-2</v>
      </c>
      <c r="H36" s="18">
        <v>6.0845999999999997E-2</v>
      </c>
      <c r="I36" s="18">
        <v>-4.8257000000000001E-2</v>
      </c>
      <c r="J36" s="18">
        <v>-3.3723000000000003E-2</v>
      </c>
      <c r="K36" s="18">
        <v>6.1247000000000003E-2</v>
      </c>
    </row>
    <row r="37" spans="1:11" x14ac:dyDescent="0.25">
      <c r="A37" s="17">
        <v>44928</v>
      </c>
      <c r="B37" s="18">
        <v>1557.7218</v>
      </c>
      <c r="C37" s="18">
        <v>351.36892699999999</v>
      </c>
      <c r="D37" s="18">
        <v>2152.3539999999998</v>
      </c>
      <c r="E37" s="18">
        <v>3716.5703100000001</v>
      </c>
      <c r="F37" s="18">
        <v>22504.845700000002</v>
      </c>
      <c r="G37" s="18">
        <v>-7.3530000000000002E-3</v>
      </c>
      <c r="H37" s="18">
        <v>6.6823999999999995E-2</v>
      </c>
      <c r="I37" s="18">
        <v>-6.3889999999999997E-3</v>
      </c>
      <c r="J37" s="18">
        <v>0.113987</v>
      </c>
      <c r="K37" s="18">
        <v>-1.9049E-2</v>
      </c>
    </row>
    <row r="38" spans="1:11" x14ac:dyDescent="0.25">
      <c r="A38" s="17">
        <v>44929</v>
      </c>
      <c r="B38" s="18">
        <v>1611.15735</v>
      </c>
      <c r="C38" s="18">
        <v>363.35305799999998</v>
      </c>
      <c r="D38" s="18">
        <v>2397.7263200000002</v>
      </c>
      <c r="E38" s="18">
        <v>4024.1875</v>
      </c>
      <c r="F38" s="18">
        <v>22578.585899999998</v>
      </c>
      <c r="G38" s="18">
        <v>3.3728000000000001E-2</v>
      </c>
      <c r="H38" s="18">
        <v>3.3537999999999998E-2</v>
      </c>
      <c r="I38" s="18">
        <v>0.107959</v>
      </c>
      <c r="J38" s="18">
        <v>7.9521999999999995E-2</v>
      </c>
      <c r="K38" s="18">
        <v>3.271E-3</v>
      </c>
    </row>
    <row r="39" spans="1:11" x14ac:dyDescent="0.25">
      <c r="A39" s="17">
        <v>44930</v>
      </c>
      <c r="B39" s="18">
        <v>1697.6014399999999</v>
      </c>
      <c r="C39" s="18">
        <v>403.19400000000002</v>
      </c>
      <c r="D39" s="18">
        <v>2525.3742699999998</v>
      </c>
      <c r="E39" s="18">
        <v>3978.8513200000002</v>
      </c>
      <c r="F39" s="18">
        <v>22169.910199999998</v>
      </c>
      <c r="G39" s="18">
        <v>5.2263999999999998E-2</v>
      </c>
      <c r="H39" s="18">
        <v>0.104043</v>
      </c>
      <c r="I39" s="18">
        <v>5.1867999999999997E-2</v>
      </c>
      <c r="J39" s="18">
        <v>-1.133E-2</v>
      </c>
      <c r="K39" s="18">
        <v>-1.8266000000000001E-2</v>
      </c>
    </row>
    <row r="40" spans="1:11" x14ac:dyDescent="0.25">
      <c r="A40" s="17">
        <v>44931</v>
      </c>
      <c r="B40" s="18">
        <v>1695.6771200000001</v>
      </c>
      <c r="C40" s="18">
        <v>422.09588600000001</v>
      </c>
      <c r="D40" s="18">
        <v>2504.9943899999998</v>
      </c>
      <c r="E40" s="18">
        <v>3950.6408700000002</v>
      </c>
      <c r="F40" s="18">
        <v>24731.4512</v>
      </c>
      <c r="G40" s="18">
        <v>-1.134E-3</v>
      </c>
      <c r="H40" s="18">
        <v>4.5815000000000002E-2</v>
      </c>
      <c r="I40" s="18">
        <v>-8.1030000000000008E-3</v>
      </c>
      <c r="J40" s="18">
        <v>-7.1149999999999998E-3</v>
      </c>
      <c r="K40" s="18">
        <v>0.10934000000000001</v>
      </c>
    </row>
    <row r="41" spans="1:11" x14ac:dyDescent="0.25">
      <c r="A41" s="17">
        <v>44932</v>
      </c>
      <c r="B41" s="18">
        <v>1711.7620899999999</v>
      </c>
      <c r="C41" s="18">
        <v>430.51162699999998</v>
      </c>
      <c r="D41" s="18">
        <v>2276.0432099999998</v>
      </c>
      <c r="E41" s="18">
        <v>4310.4843799999999</v>
      </c>
      <c r="F41" s="18">
        <v>26559.5098</v>
      </c>
      <c r="G41" s="18">
        <v>9.4409999999999997E-3</v>
      </c>
      <c r="H41" s="18">
        <v>1.9741999999999999E-2</v>
      </c>
      <c r="I41" s="18">
        <v>-9.5848000000000003E-2</v>
      </c>
      <c r="J41" s="18">
        <v>8.7171999999999999E-2</v>
      </c>
      <c r="K41" s="18">
        <v>7.1312E-2</v>
      </c>
    </row>
    <row r="42" spans="1:11" x14ac:dyDescent="0.25">
      <c r="A42" s="17">
        <v>44933</v>
      </c>
      <c r="B42" s="18">
        <v>1825.04736</v>
      </c>
      <c r="C42" s="18">
        <v>443.953217</v>
      </c>
      <c r="D42" s="18">
        <v>2157.8393599999999</v>
      </c>
      <c r="E42" s="18">
        <v>4980.2919899999997</v>
      </c>
      <c r="F42" s="18">
        <v>28437.3184</v>
      </c>
      <c r="G42" s="18">
        <v>6.4083000000000001E-2</v>
      </c>
      <c r="H42" s="18">
        <v>3.0745000000000001E-2</v>
      </c>
      <c r="I42" s="18">
        <v>-5.3331000000000003E-2</v>
      </c>
      <c r="J42" s="18">
        <v>0.14443800000000001</v>
      </c>
      <c r="K42" s="18">
        <v>6.8314E-2</v>
      </c>
    </row>
    <row r="43" spans="1:11" x14ac:dyDescent="0.25">
      <c r="A43" s="17">
        <v>44934</v>
      </c>
      <c r="B43" s="18">
        <v>1767.3192100000001</v>
      </c>
      <c r="C43" s="18">
        <v>419.167328</v>
      </c>
      <c r="D43" s="18">
        <v>2342.7004400000001</v>
      </c>
      <c r="E43" s="18">
        <v>6259.4423800000004</v>
      </c>
      <c r="F43" s="18">
        <v>30739.748</v>
      </c>
      <c r="G43" s="18">
        <v>-3.2141999999999997E-2</v>
      </c>
      <c r="H43" s="18">
        <v>-5.7449E-2</v>
      </c>
      <c r="I43" s="18">
        <v>8.2197000000000006E-2</v>
      </c>
      <c r="J43" s="18">
        <v>0.228603</v>
      </c>
      <c r="K43" s="18">
        <v>7.7854000000000007E-2</v>
      </c>
    </row>
    <row r="44" spans="1:11" x14ac:dyDescent="0.25">
      <c r="A44" s="17">
        <v>44935</v>
      </c>
      <c r="B44" s="18">
        <v>1927.3009</v>
      </c>
      <c r="C44" s="18">
        <v>423.64785799999999</v>
      </c>
      <c r="D44" s="18">
        <v>2239.94238</v>
      </c>
      <c r="E44" s="18">
        <v>5950.84717</v>
      </c>
      <c r="F44" s="18">
        <v>31383.382799999999</v>
      </c>
      <c r="G44" s="18">
        <v>8.6656999999999998E-2</v>
      </c>
      <c r="H44" s="18">
        <v>1.0632000000000001E-2</v>
      </c>
      <c r="I44" s="18">
        <v>-4.4853999999999998E-2</v>
      </c>
      <c r="J44" s="18">
        <v>-5.0557999999999999E-2</v>
      </c>
      <c r="K44" s="18">
        <v>2.0722000000000001E-2</v>
      </c>
    </row>
    <row r="45" spans="1:11" x14ac:dyDescent="0.25">
      <c r="A45" s="17">
        <v>44936</v>
      </c>
      <c r="B45" s="18">
        <v>1872.03394</v>
      </c>
      <c r="C45" s="18">
        <v>408.39501999999999</v>
      </c>
      <c r="D45" s="18">
        <v>2186.0703100000001</v>
      </c>
      <c r="E45" s="18">
        <v>5991.8271500000001</v>
      </c>
      <c r="F45" s="18">
        <v>29367.3711</v>
      </c>
      <c r="G45" s="18">
        <v>-2.9094999999999999E-2</v>
      </c>
      <c r="H45" s="18">
        <v>-3.6667999999999999E-2</v>
      </c>
      <c r="I45" s="18">
        <v>-2.4344999999999999E-2</v>
      </c>
      <c r="J45" s="18">
        <v>6.8630000000000002E-3</v>
      </c>
      <c r="K45" s="18">
        <v>-6.6393999999999995E-2</v>
      </c>
    </row>
    <row r="46" spans="1:11" x14ac:dyDescent="0.25">
      <c r="A46" s="17">
        <v>44937</v>
      </c>
      <c r="B46" s="18">
        <v>1989.8607199999999</v>
      </c>
      <c r="C46" s="18">
        <v>415.449432</v>
      </c>
      <c r="D46" s="18">
        <v>2357.4465300000002</v>
      </c>
      <c r="E46" s="18">
        <v>5739.7021500000001</v>
      </c>
      <c r="F46" s="18">
        <v>30625.537100000001</v>
      </c>
      <c r="G46" s="18">
        <v>6.1039000000000003E-2</v>
      </c>
      <c r="H46" s="18">
        <v>1.7125999999999999E-2</v>
      </c>
      <c r="I46" s="18">
        <v>7.5473999999999999E-2</v>
      </c>
      <c r="J46" s="18">
        <v>-4.2988999999999999E-2</v>
      </c>
      <c r="K46" s="18">
        <v>4.1950000000000001E-2</v>
      </c>
    </row>
    <row r="47" spans="1:11" x14ac:dyDescent="0.25">
      <c r="A47" s="17">
        <v>44938</v>
      </c>
      <c r="B47" s="18">
        <v>2118.20532</v>
      </c>
      <c r="C47" s="18">
        <v>440.52130099999999</v>
      </c>
      <c r="D47" s="18">
        <v>2468.8264199999999</v>
      </c>
      <c r="E47" s="18">
        <v>5637.4033200000003</v>
      </c>
      <c r="F47" s="18">
        <v>36813.582000000002</v>
      </c>
      <c r="G47" s="18">
        <v>6.2505000000000005E-2</v>
      </c>
      <c r="H47" s="18">
        <v>5.8597999999999997E-2</v>
      </c>
      <c r="I47" s="18">
        <v>4.6163999999999997E-2</v>
      </c>
      <c r="J47" s="18">
        <v>-1.7984E-2</v>
      </c>
      <c r="K47" s="18">
        <v>0.184033</v>
      </c>
    </row>
    <row r="48" spans="1:11" x14ac:dyDescent="0.25">
      <c r="A48" s="17">
        <v>45292</v>
      </c>
      <c r="B48" s="18">
        <v>2166.6738300000002</v>
      </c>
      <c r="C48" s="18">
        <v>420.93093900000002</v>
      </c>
      <c r="D48" s="18">
        <v>2315.3244599999998</v>
      </c>
      <c r="E48" s="18">
        <v>5589.5263699999996</v>
      </c>
      <c r="F48" s="18">
        <v>33951.316400000003</v>
      </c>
      <c r="G48" s="18">
        <v>2.2623999999999998E-2</v>
      </c>
      <c r="H48" s="18">
        <v>-4.5490000000000003E-2</v>
      </c>
      <c r="I48" s="18">
        <v>-6.4193E-2</v>
      </c>
      <c r="J48" s="18">
        <v>-8.5290000000000001E-3</v>
      </c>
      <c r="K48" s="18">
        <v>-8.0938999999999997E-2</v>
      </c>
    </row>
    <row r="49" spans="1:11" x14ac:dyDescent="0.25">
      <c r="A49" s="17">
        <v>45293</v>
      </c>
      <c r="B49" s="18">
        <v>2183.0109900000002</v>
      </c>
      <c r="C49" s="18">
        <v>387.32702599999999</v>
      </c>
      <c r="D49" s="18">
        <v>2379.6027800000002</v>
      </c>
      <c r="E49" s="18">
        <v>5380.9799800000001</v>
      </c>
      <c r="F49" s="18">
        <v>31552.902300000002</v>
      </c>
      <c r="G49" s="18">
        <v>7.5119999999999996E-3</v>
      </c>
      <c r="H49" s="18">
        <v>-8.3198999999999995E-2</v>
      </c>
      <c r="I49" s="18">
        <v>2.7383999999999999E-2</v>
      </c>
      <c r="J49" s="18">
        <v>-3.8024000000000002E-2</v>
      </c>
      <c r="K49" s="18">
        <v>-7.3261999999999994E-2</v>
      </c>
    </row>
    <row r="50" spans="1:11" x14ac:dyDescent="0.25">
      <c r="A50" s="17">
        <v>45294</v>
      </c>
      <c r="B50" s="18">
        <v>2278.5439500000002</v>
      </c>
      <c r="C50" s="18">
        <v>414.344696</v>
      </c>
      <c r="D50" s="18">
        <v>2553.5112300000001</v>
      </c>
      <c r="E50" s="18">
        <v>6405.6718799999999</v>
      </c>
      <c r="F50" s="18">
        <v>30779.019499999999</v>
      </c>
      <c r="G50" s="18">
        <v>4.2832000000000002E-2</v>
      </c>
      <c r="H50" s="18">
        <v>6.7429000000000003E-2</v>
      </c>
      <c r="I50" s="18">
        <v>7.0536000000000001E-2</v>
      </c>
      <c r="J50" s="18">
        <v>0.174313</v>
      </c>
      <c r="K50" s="18">
        <v>-2.4832E-2</v>
      </c>
    </row>
    <row r="51" spans="1:11" x14ac:dyDescent="0.25">
      <c r="A51" s="20">
        <v>45295</v>
      </c>
      <c r="B51" s="18">
        <v>2402.4177300000001</v>
      </c>
      <c r="C51" s="18">
        <v>421.40597500000001</v>
      </c>
      <c r="D51" s="18">
        <v>2614.1508800000001</v>
      </c>
      <c r="E51" s="18">
        <v>8251.7060600000004</v>
      </c>
      <c r="F51" s="18">
        <v>30063.402300000002</v>
      </c>
      <c r="G51" s="18">
        <v>5.2939E-2</v>
      </c>
      <c r="H51" s="18">
        <v>1.6899000000000001E-2</v>
      </c>
      <c r="I51" s="18">
        <v>2.3470000000000001E-2</v>
      </c>
      <c r="J51" s="18">
        <v>0.25323600000000002</v>
      </c>
      <c r="K51" s="18">
        <v>-2.3525000000000001E-2</v>
      </c>
    </row>
    <row r="52" spans="1:11" x14ac:dyDescent="0.25">
      <c r="A52" s="20">
        <v>45296</v>
      </c>
      <c r="B52" s="18">
        <v>2307.3830600000001</v>
      </c>
      <c r="C52" s="18">
        <v>412.50680499999999</v>
      </c>
      <c r="D52" s="18">
        <v>2205.52954</v>
      </c>
      <c r="E52" s="18">
        <v>8705.2304700000004</v>
      </c>
      <c r="F52" s="18">
        <v>32941.558599999997</v>
      </c>
      <c r="G52" s="18">
        <v>-4.0362000000000002E-2</v>
      </c>
      <c r="H52" s="18">
        <v>-2.1343999999999998E-2</v>
      </c>
      <c r="I52" s="18">
        <v>-0.16997200000000001</v>
      </c>
      <c r="J52" s="18">
        <v>5.3504000000000003E-2</v>
      </c>
      <c r="K52" s="18">
        <v>9.1425999999999993E-2</v>
      </c>
    </row>
    <row r="53" spans="1:11" x14ac:dyDescent="0.25">
      <c r="A53" s="20">
        <v>45297</v>
      </c>
      <c r="B53" s="18">
        <v>2660.2273</v>
      </c>
      <c r="C53" s="18">
        <v>411.00747699999999</v>
      </c>
      <c r="D53" s="18">
        <v>2429.6379400000001</v>
      </c>
      <c r="E53" s="18">
        <v>8295.0849600000001</v>
      </c>
      <c r="F53" s="18">
        <v>36315.441400000003</v>
      </c>
      <c r="G53" s="18">
        <v>0.14229800000000001</v>
      </c>
      <c r="H53" s="18">
        <v>-3.6410000000000001E-3</v>
      </c>
      <c r="I53" s="18">
        <v>9.6775E-2</v>
      </c>
      <c r="J53" s="18">
        <v>-4.8260999999999998E-2</v>
      </c>
      <c r="K53" s="18">
        <v>9.7507999999999997E-2</v>
      </c>
    </row>
    <row r="54" spans="1:11" x14ac:dyDescent="0.25">
      <c r="A54" s="20">
        <v>45298</v>
      </c>
      <c r="B54" s="18">
        <v>2766.1203599999999</v>
      </c>
      <c r="C54" s="18">
        <v>487.65271000000001</v>
      </c>
      <c r="D54" s="18">
        <v>2637.9382300000002</v>
      </c>
      <c r="E54" s="18">
        <v>8158.0019499999999</v>
      </c>
      <c r="F54" s="18">
        <v>38763.980499999998</v>
      </c>
      <c r="G54" s="18">
        <v>3.9033999999999999E-2</v>
      </c>
      <c r="H54" s="18">
        <v>0.17099200000000001</v>
      </c>
      <c r="I54" s="18">
        <v>8.2254999999999995E-2</v>
      </c>
      <c r="J54" s="18">
        <v>-1.6664000000000002E-2</v>
      </c>
      <c r="K54" s="18">
        <v>6.5248E-2</v>
      </c>
    </row>
    <row r="55" spans="1:11" x14ac:dyDescent="0.25">
      <c r="A55" s="20">
        <v>45299</v>
      </c>
      <c r="B55" s="18">
        <v>2688.51856</v>
      </c>
      <c r="C55" s="18">
        <v>494.10092200000003</v>
      </c>
      <c r="D55" s="18">
        <v>2561.4626499999999</v>
      </c>
      <c r="E55" s="18">
        <v>7221.7168000000001</v>
      </c>
      <c r="F55" s="18">
        <v>35663.648399999998</v>
      </c>
      <c r="G55" s="18">
        <v>-2.8455000000000001E-2</v>
      </c>
      <c r="H55" s="18">
        <v>1.3136E-2</v>
      </c>
      <c r="I55" s="18">
        <v>-2.9419000000000001E-2</v>
      </c>
      <c r="J55" s="18">
        <v>-0.121907</v>
      </c>
      <c r="K55" s="18">
        <v>-8.3360000000000004E-2</v>
      </c>
    </row>
    <row r="56" spans="1:11" x14ac:dyDescent="0.25">
      <c r="A56" s="20">
        <v>45300</v>
      </c>
      <c r="B56" s="18">
        <v>2795.5500499999998</v>
      </c>
      <c r="C56" s="18">
        <v>510.09841899999998</v>
      </c>
      <c r="D56" s="18">
        <v>2494.7941900000001</v>
      </c>
      <c r="E56" s="18">
        <v>8485.0996099999993</v>
      </c>
      <c r="F56" s="18">
        <v>33834</v>
      </c>
      <c r="G56" s="18">
        <v>3.9038999999999997E-2</v>
      </c>
      <c r="H56" s="18">
        <v>3.1864000000000003E-2</v>
      </c>
      <c r="I56" s="18">
        <v>-2.6372E-2</v>
      </c>
      <c r="J56" s="18">
        <v>0.161219</v>
      </c>
      <c r="K56" s="18">
        <v>-5.2665999999999998E-2</v>
      </c>
    </row>
    <row r="57" spans="1:11" x14ac:dyDescent="0.25">
      <c r="A57" s="20">
        <v>45301</v>
      </c>
      <c r="B57" s="18">
        <v>2695.8501000000001</v>
      </c>
      <c r="C57" s="18">
        <v>481.20446800000002</v>
      </c>
      <c r="D57" s="18">
        <v>2240.4057600000001</v>
      </c>
      <c r="E57" s="18">
        <v>7654.6499000000003</v>
      </c>
      <c r="F57" s="18">
        <v>36047.601600000002</v>
      </c>
      <c r="G57" s="18">
        <v>-3.6315E-2</v>
      </c>
      <c r="H57" s="18">
        <v>-5.8311000000000002E-2</v>
      </c>
      <c r="I57" s="18">
        <v>-0.10754900000000001</v>
      </c>
      <c r="J57" s="18">
        <v>-0.10299800000000001</v>
      </c>
      <c r="K57" s="18">
        <v>6.3374E-2</v>
      </c>
    </row>
    <row r="58" spans="1:11" x14ac:dyDescent="0.25">
      <c r="A58" s="20">
        <v>45302</v>
      </c>
      <c r="B58" s="18">
        <v>2606.25</v>
      </c>
      <c r="C58" s="18">
        <v>469.34173600000003</v>
      </c>
      <c r="D58" s="18">
        <v>2262.2289999999998</v>
      </c>
      <c r="E58" s="18">
        <v>6920.75</v>
      </c>
      <c r="F58" s="18">
        <v>32245.300800000001</v>
      </c>
      <c r="G58" s="18">
        <v>-3.3800999999999998E-2</v>
      </c>
      <c r="H58" s="18">
        <v>-2.4961000000000001E-2</v>
      </c>
      <c r="I58" s="18">
        <v>9.6939999999999995E-3</v>
      </c>
      <c r="J58" s="18">
        <v>-0.100789</v>
      </c>
      <c r="K58" s="18">
        <v>-0.111468</v>
      </c>
    </row>
    <row r="59" spans="1:11" x14ac:dyDescent="0.25">
      <c r="A59" s="20">
        <v>45303</v>
      </c>
      <c r="B59" s="18">
        <v>2442.6999500000002</v>
      </c>
      <c r="C59" s="18">
        <v>476.13449100000003</v>
      </c>
      <c r="D59" s="18">
        <v>2235.21216</v>
      </c>
      <c r="E59" s="18">
        <v>5996.0498100000004</v>
      </c>
      <c r="F59" s="18">
        <v>30393.150399999999</v>
      </c>
      <c r="G59" s="18">
        <v>-6.4808000000000004E-2</v>
      </c>
      <c r="H59" s="18">
        <v>1.4369E-2</v>
      </c>
      <c r="I59" s="18">
        <v>-1.2014E-2</v>
      </c>
      <c r="J59" s="18">
        <v>-0.14342299999999999</v>
      </c>
      <c r="K59" s="18">
        <v>-5.9154999999999999E-2</v>
      </c>
    </row>
    <row r="60" spans="1:11" x14ac:dyDescent="0.25">
      <c r="A60" s="20">
        <v>45658</v>
      </c>
      <c r="B60" s="18">
        <v>2508.8501000000001</v>
      </c>
      <c r="C60" s="18">
        <v>440.54623400000003</v>
      </c>
      <c r="D60" s="18">
        <v>2806.4126000000001</v>
      </c>
      <c r="E60" s="18">
        <v>6267.8500999999997</v>
      </c>
      <c r="F60" s="18">
        <v>29892.25</v>
      </c>
      <c r="G60" s="18">
        <v>2.6721000000000002E-2</v>
      </c>
      <c r="H60" s="18">
        <v>-7.7685000000000004E-2</v>
      </c>
      <c r="I60" s="18">
        <v>0.227571</v>
      </c>
      <c r="J60" s="18">
        <v>4.4332999999999997E-2</v>
      </c>
      <c r="K60" s="18">
        <v>-1.6618000000000001E-2</v>
      </c>
    </row>
    <row r="61" spans="1:11" x14ac:dyDescent="0.25">
      <c r="A61" s="20">
        <v>45659</v>
      </c>
      <c r="B61" s="18">
        <v>2306.6498999999999</v>
      </c>
      <c r="C61" s="18">
        <v>388.86206099999998</v>
      </c>
      <c r="D61" s="18">
        <v>2791.9799800000001</v>
      </c>
      <c r="E61" s="18">
        <v>5927.0498100000004</v>
      </c>
      <c r="F61" s="18">
        <v>26297.300800000001</v>
      </c>
      <c r="G61" s="18">
        <v>-8.4028000000000005E-2</v>
      </c>
      <c r="H61" s="18">
        <v>-0.124791</v>
      </c>
      <c r="I61" s="18">
        <v>-5.156E-3</v>
      </c>
      <c r="J61" s="18">
        <v>-5.5906999999999998E-2</v>
      </c>
      <c r="K61" s="18">
        <v>-0.128133</v>
      </c>
    </row>
    <row r="62" spans="1:11" x14ac:dyDescent="0.25">
      <c r="A62" s="20">
        <v>45660</v>
      </c>
      <c r="B62" s="18">
        <v>2611.1498999999999</v>
      </c>
      <c r="C62" s="18">
        <v>409.75</v>
      </c>
      <c r="D62" s="18">
        <v>2939.1498999999999</v>
      </c>
      <c r="E62" s="18">
        <v>6257.3999000000003</v>
      </c>
      <c r="F62" s="18">
        <v>28889.150399999999</v>
      </c>
      <c r="G62" s="18">
        <v>0.12399399999999999</v>
      </c>
      <c r="H62" s="18">
        <v>5.2323000000000001E-2</v>
      </c>
      <c r="I62" s="18">
        <v>5.1368999999999998E-2</v>
      </c>
      <c r="J62" s="18">
        <v>5.4238000000000001E-2</v>
      </c>
      <c r="K62" s="18">
        <v>9.4E-2</v>
      </c>
    </row>
    <row r="63" spans="1:11" x14ac:dyDescent="0.25">
      <c r="A63" s="21"/>
      <c r="B63" s="21"/>
      <c r="C63" s="21"/>
      <c r="D63" s="21"/>
      <c r="E63" s="22"/>
      <c r="F63" s="21"/>
    </row>
    <row r="64" spans="1:11" x14ac:dyDescent="0.25">
      <c r="A64" s="21"/>
      <c r="B64" s="21"/>
      <c r="C64" s="21"/>
      <c r="D64" s="21"/>
      <c r="E64" s="22"/>
      <c r="F64" s="21"/>
    </row>
    <row r="65" spans="1:6" x14ac:dyDescent="0.25">
      <c r="A65" s="21"/>
      <c r="B65" s="21"/>
      <c r="C65" s="21"/>
      <c r="D65" s="21"/>
      <c r="E65" s="22"/>
      <c r="F65" s="21"/>
    </row>
    <row r="66" spans="1:6" x14ac:dyDescent="0.25">
      <c r="A66" s="23" t="s">
        <v>30</v>
      </c>
      <c r="B66" s="23" t="s">
        <v>31</v>
      </c>
      <c r="C66" s="23" t="s">
        <v>32</v>
      </c>
      <c r="D66" s="23" t="s">
        <v>33</v>
      </c>
      <c r="E66" s="23" t="s">
        <v>34</v>
      </c>
      <c r="F66" s="24"/>
    </row>
    <row r="67" spans="1:6" x14ac:dyDescent="0.25">
      <c r="A67" s="7" t="s">
        <v>28</v>
      </c>
      <c r="B67" s="7">
        <v>1.0636000000000001</v>
      </c>
      <c r="C67" s="7">
        <v>0.99</v>
      </c>
      <c r="D67" s="7">
        <v>0.25</v>
      </c>
      <c r="E67" s="7">
        <f t="shared" ref="E67:E71" si="0">B67/(1+C67*(1-D67))</f>
        <v>0.61038737446197999</v>
      </c>
      <c r="F67" s="24"/>
    </row>
    <row r="68" spans="1:6" x14ac:dyDescent="0.25">
      <c r="A68" s="7" t="s">
        <v>15</v>
      </c>
      <c r="B68" s="24">
        <v>0.84340000000000004</v>
      </c>
      <c r="C68" s="24">
        <v>0.41</v>
      </c>
      <c r="D68" s="7">
        <v>0.25</v>
      </c>
      <c r="E68" s="7">
        <f t="shared" si="0"/>
        <v>0.64504780114722748</v>
      </c>
      <c r="F68" s="24"/>
    </row>
    <row r="69" spans="1:6" x14ac:dyDescent="0.25">
      <c r="A69" s="7" t="s">
        <v>29</v>
      </c>
      <c r="B69" s="24">
        <v>9.9400000000000002E-2</v>
      </c>
      <c r="C69" s="24">
        <v>0.44</v>
      </c>
      <c r="D69" s="7">
        <v>0.25</v>
      </c>
      <c r="E69" s="7">
        <f t="shared" si="0"/>
        <v>7.4736842105263157E-2</v>
      </c>
      <c r="F69" s="24"/>
    </row>
    <row r="70" spans="1:6" x14ac:dyDescent="0.25">
      <c r="A70" s="7" t="s">
        <v>19</v>
      </c>
      <c r="B70" s="24">
        <v>0.44429999999999997</v>
      </c>
      <c r="C70" s="24">
        <v>0.01</v>
      </c>
      <c r="D70" s="7">
        <v>0.25</v>
      </c>
      <c r="E70" s="7">
        <f t="shared" si="0"/>
        <v>0.44099255583126545</v>
      </c>
      <c r="F70" s="24"/>
    </row>
    <row r="71" spans="1:6" x14ac:dyDescent="0.25">
      <c r="A71" s="7" t="s">
        <v>21</v>
      </c>
      <c r="B71" s="24">
        <v>0.91879999999999995</v>
      </c>
      <c r="C71" s="24">
        <v>0.02</v>
      </c>
      <c r="D71" s="7">
        <v>0.25</v>
      </c>
      <c r="E71" s="7">
        <f t="shared" si="0"/>
        <v>0.90522167487684735</v>
      </c>
      <c r="F71" s="24"/>
    </row>
    <row r="72" spans="1:6" x14ac:dyDescent="0.25">
      <c r="A72" s="24"/>
      <c r="B72" s="24"/>
      <c r="C72" s="24"/>
      <c r="D72" s="24"/>
      <c r="E72" s="22" t="s">
        <v>35</v>
      </c>
      <c r="F72" s="7">
        <f>AVERAGE(E68:F71)</f>
        <v>0.51649971849015086</v>
      </c>
    </row>
    <row r="73" spans="1:6" x14ac:dyDescent="0.25">
      <c r="A73" s="24"/>
      <c r="B73" s="24"/>
      <c r="C73" s="24"/>
      <c r="D73" s="24"/>
      <c r="E73" s="7"/>
      <c r="F73" s="7"/>
    </row>
    <row r="74" spans="1:6" x14ac:dyDescent="0.25">
      <c r="A74" s="24"/>
      <c r="B74" s="24"/>
      <c r="C74" s="24"/>
      <c r="D74" s="24"/>
      <c r="E74" s="22" t="s">
        <v>36</v>
      </c>
      <c r="F74" s="7">
        <f>E67/(1+(1-0.3)*C67)</f>
        <v>0.36053595656348492</v>
      </c>
    </row>
    <row r="75" spans="1:6" x14ac:dyDescent="0.25">
      <c r="A75" s="24"/>
      <c r="B75" s="24"/>
      <c r="C75" s="24"/>
      <c r="D75" s="24"/>
      <c r="E75" s="7"/>
      <c r="F75" s="7"/>
    </row>
    <row r="76" spans="1:6" x14ac:dyDescent="0.25">
      <c r="A76" s="24"/>
      <c r="B76" s="24"/>
      <c r="C76" s="24"/>
      <c r="D76" s="24"/>
      <c r="E76" s="22" t="s">
        <v>37</v>
      </c>
      <c r="F76" s="7">
        <v>1.7</v>
      </c>
    </row>
    <row r="77" spans="1:6" x14ac:dyDescent="0.25">
      <c r="A77" s="24"/>
      <c r="B77" s="24"/>
      <c r="C77" s="24"/>
      <c r="D77" s="24"/>
      <c r="E77" s="22" t="s">
        <v>38</v>
      </c>
      <c r="F77" s="7">
        <v>0.99</v>
      </c>
    </row>
    <row r="78" spans="1:6" x14ac:dyDescent="0.25">
      <c r="A78" s="24"/>
      <c r="B78" s="24"/>
      <c r="C78" s="24"/>
      <c r="D78" s="24"/>
      <c r="E78" s="22" t="s">
        <v>39</v>
      </c>
      <c r="F78" s="7">
        <v>0.46100000000000002</v>
      </c>
    </row>
    <row r="79" spans="1:6" x14ac:dyDescent="0.25">
      <c r="F79" s="7"/>
    </row>
    <row r="80" spans="1:6" x14ac:dyDescent="0.25">
      <c r="F80" s="7"/>
    </row>
    <row r="173" spans="1:6" x14ac:dyDescent="0.25">
      <c r="A173" s="22"/>
      <c r="B173" s="22"/>
      <c r="C173" s="22"/>
      <c r="D173" s="22"/>
      <c r="E173" s="22"/>
      <c r="F173" s="7"/>
    </row>
    <row r="174" spans="1:6" x14ac:dyDescent="0.25">
      <c r="A174" s="7"/>
      <c r="B174" s="7"/>
      <c r="C174" s="7"/>
      <c r="D174" s="7"/>
      <c r="E174" s="7"/>
      <c r="F174" s="7"/>
    </row>
    <row r="175" spans="1:6" x14ac:dyDescent="0.25">
      <c r="A175" s="7"/>
      <c r="B175" s="7"/>
      <c r="C175" s="7"/>
      <c r="D175" s="7"/>
      <c r="E175" s="7"/>
      <c r="F175" s="7"/>
    </row>
    <row r="176" spans="1:6" x14ac:dyDescent="0.25">
      <c r="A176" s="7"/>
      <c r="B176" s="7"/>
      <c r="C176" s="7"/>
      <c r="D176" s="7"/>
      <c r="E176" s="7"/>
      <c r="F176" s="7"/>
    </row>
    <row r="177" spans="1:6" x14ac:dyDescent="0.25">
      <c r="A177" s="7"/>
      <c r="B177" s="7"/>
      <c r="C177" s="7"/>
      <c r="D177" s="7"/>
      <c r="E177" s="7"/>
      <c r="F177" s="7"/>
    </row>
    <row r="178" spans="1:6" x14ac:dyDescent="0.25">
      <c r="A178" s="7"/>
      <c r="B178" s="7"/>
      <c r="C178" s="7"/>
      <c r="D178" s="7"/>
      <c r="E178" s="7"/>
      <c r="F178" s="7"/>
    </row>
    <row r="179" spans="1:6" x14ac:dyDescent="0.25">
      <c r="A179" s="7"/>
      <c r="B179" s="7"/>
      <c r="C179" s="7"/>
      <c r="D179" s="7"/>
      <c r="E179" s="22"/>
      <c r="F179" s="7"/>
    </row>
    <row r="180" spans="1:6" x14ac:dyDescent="0.25">
      <c r="A180" s="7"/>
      <c r="B180" s="7"/>
      <c r="C180" s="7"/>
      <c r="D180" s="7"/>
      <c r="E180" s="7"/>
      <c r="F180" s="7"/>
    </row>
    <row r="181" spans="1:6" x14ac:dyDescent="0.25">
      <c r="A181" s="7"/>
      <c r="B181" s="7"/>
      <c r="C181" s="7"/>
      <c r="D181" s="7"/>
      <c r="E181" s="22"/>
      <c r="F181" s="7"/>
    </row>
    <row r="182" spans="1:6" x14ac:dyDescent="0.25">
      <c r="A182" s="7"/>
      <c r="B182" s="7"/>
      <c r="C182" s="7"/>
      <c r="D182" s="7"/>
      <c r="E182" s="7"/>
      <c r="F182" s="7"/>
    </row>
    <row r="183" spans="1:6" x14ac:dyDescent="0.25">
      <c r="A183" s="7"/>
      <c r="B183" s="7"/>
      <c r="C183" s="7"/>
      <c r="D183" s="7"/>
      <c r="E183" s="22"/>
      <c r="F183" s="7"/>
    </row>
    <row r="184" spans="1:6" x14ac:dyDescent="0.25">
      <c r="A184" s="7"/>
      <c r="B184" s="7"/>
      <c r="C184" s="7"/>
      <c r="D184" s="7"/>
      <c r="E184" s="22"/>
      <c r="F184" s="7"/>
    </row>
    <row r="185" spans="1:6" x14ac:dyDescent="0.25">
      <c r="A185" s="7"/>
      <c r="B185" s="7"/>
      <c r="C185" s="7"/>
      <c r="D185" s="7"/>
      <c r="E185" s="22"/>
      <c r="F18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3"/>
  <sheetViews>
    <sheetView workbookViewId="0"/>
  </sheetViews>
  <sheetFormatPr defaultColWidth="12.6640625" defaultRowHeight="15.75" customHeight="1" x14ac:dyDescent="0.25"/>
  <cols>
    <col min="1" max="1" width="14.77734375" customWidth="1"/>
    <col min="2" max="2" width="32.44140625" customWidth="1"/>
    <col min="3" max="3" width="19.109375" customWidth="1"/>
  </cols>
  <sheetData>
    <row r="1" spans="1:3" ht="15.75" customHeight="1" x14ac:dyDescent="0.3">
      <c r="A1" s="25" t="s">
        <v>40</v>
      </c>
      <c r="B1" s="26" t="s">
        <v>41</v>
      </c>
      <c r="C1" s="27"/>
    </row>
    <row r="2" spans="1:3" ht="15.75" customHeight="1" x14ac:dyDescent="0.3">
      <c r="A2" s="28">
        <v>45748</v>
      </c>
      <c r="B2" s="29">
        <v>6.3730000000000002</v>
      </c>
      <c r="C2" s="30"/>
    </row>
    <row r="3" spans="1:3" ht="15.75" customHeight="1" x14ac:dyDescent="0.3">
      <c r="A3" s="28">
        <v>45717</v>
      </c>
      <c r="B3" s="29">
        <v>6.39</v>
      </c>
    </row>
    <row r="4" spans="1:3" ht="15.75" customHeight="1" x14ac:dyDescent="0.3">
      <c r="A4" s="28">
        <v>45689</v>
      </c>
      <c r="B4" s="29">
        <v>6.57</v>
      </c>
    </row>
    <row r="5" spans="1:3" ht="15.75" customHeight="1" x14ac:dyDescent="0.3">
      <c r="A5" s="28">
        <v>45658</v>
      </c>
      <c r="B5" s="29">
        <v>6.53</v>
      </c>
    </row>
    <row r="6" spans="1:3" ht="15.75" customHeight="1" x14ac:dyDescent="0.3">
      <c r="A6" s="28">
        <v>45627</v>
      </c>
      <c r="B6" s="29">
        <v>6.63</v>
      </c>
    </row>
    <row r="7" spans="1:3" ht="15.75" customHeight="1" x14ac:dyDescent="0.3">
      <c r="A7" s="28">
        <v>45597</v>
      </c>
      <c r="B7" s="29">
        <v>6.7149999999999999</v>
      </c>
    </row>
    <row r="8" spans="1:3" ht="15.75" customHeight="1" x14ac:dyDescent="0.3">
      <c r="A8" s="28">
        <v>45566</v>
      </c>
      <c r="B8" s="29">
        <v>6.6109999999999998</v>
      </c>
    </row>
    <row r="9" spans="1:3" ht="15.75" customHeight="1" x14ac:dyDescent="0.3">
      <c r="A9" s="28">
        <v>45536</v>
      </c>
      <c r="B9" s="29">
        <v>6.6150000000000002</v>
      </c>
    </row>
    <row r="10" spans="1:3" ht="15.75" customHeight="1" x14ac:dyDescent="0.3">
      <c r="A10" s="28">
        <v>45505</v>
      </c>
      <c r="B10" s="29">
        <v>6.7430000000000003</v>
      </c>
    </row>
    <row r="11" spans="1:3" ht="15.6" x14ac:dyDescent="0.3">
      <c r="A11" s="28">
        <v>45474</v>
      </c>
      <c r="B11" s="29">
        <v>6.8390000000000004</v>
      </c>
    </row>
    <row r="12" spans="1:3" ht="15.6" x14ac:dyDescent="0.3">
      <c r="A12" s="28">
        <v>45444</v>
      </c>
      <c r="B12" s="29">
        <v>6.9359999999999999</v>
      </c>
    </row>
    <row r="13" spans="1:3" ht="15.6" x14ac:dyDescent="0.3">
      <c r="A13" s="31">
        <v>45413</v>
      </c>
      <c r="B13" s="29">
        <v>6.9390000000000001</v>
      </c>
    </row>
    <row r="14" spans="1:3" ht="15.6" x14ac:dyDescent="0.3">
      <c r="A14" s="28">
        <v>45383</v>
      </c>
      <c r="B14" s="29">
        <v>7.0590000000000002</v>
      </c>
    </row>
    <row r="15" spans="1:3" ht="15.6" x14ac:dyDescent="0.3">
      <c r="A15" s="28">
        <v>45352</v>
      </c>
      <c r="B15" s="29">
        <v>6.9749999999999996</v>
      </c>
    </row>
    <row r="16" spans="1:3" ht="15.6" x14ac:dyDescent="0.3">
      <c r="A16" s="28">
        <v>45323</v>
      </c>
      <c r="B16" s="29">
        <v>7.0369999999999999</v>
      </c>
    </row>
    <row r="17" spans="1:2" ht="15.6" x14ac:dyDescent="0.3">
      <c r="A17" s="28">
        <v>45292</v>
      </c>
      <c r="B17" s="29">
        <v>7.0960000000000001</v>
      </c>
    </row>
    <row r="18" spans="1:2" ht="15.6" x14ac:dyDescent="0.3">
      <c r="A18" s="28">
        <v>45261</v>
      </c>
      <c r="B18" s="29">
        <v>7.11</v>
      </c>
    </row>
    <row r="19" spans="1:2" ht="15.6" x14ac:dyDescent="0.3">
      <c r="A19" s="28">
        <v>45231</v>
      </c>
      <c r="B19" s="29">
        <v>7.226</v>
      </c>
    </row>
    <row r="20" spans="1:2" ht="15.6" x14ac:dyDescent="0.3">
      <c r="A20" s="28">
        <v>45200</v>
      </c>
      <c r="B20" s="29">
        <v>7.3310000000000004</v>
      </c>
    </row>
    <row r="21" spans="1:2" ht="15.6" x14ac:dyDescent="0.3">
      <c r="A21" s="28">
        <v>45170</v>
      </c>
      <c r="B21" s="29">
        <v>6.9749999999999996</v>
      </c>
    </row>
    <row r="22" spans="1:2" ht="15.6" x14ac:dyDescent="0.3">
      <c r="A22" s="28">
        <v>45139</v>
      </c>
      <c r="B22" s="29">
        <v>7.0030000000000001</v>
      </c>
    </row>
    <row r="23" spans="1:2" ht="15.6" x14ac:dyDescent="0.3">
      <c r="A23" s="28">
        <v>45108</v>
      </c>
      <c r="B23" s="29">
        <v>6.8970000000000002</v>
      </c>
    </row>
    <row r="24" spans="1:2" ht="15.6" x14ac:dyDescent="0.3">
      <c r="A24" s="28">
        <v>45078</v>
      </c>
      <c r="B24" s="29">
        <v>6.8559999999999999</v>
      </c>
    </row>
    <row r="25" spans="1:2" ht="15.6" x14ac:dyDescent="0.3">
      <c r="A25" s="31">
        <v>45047</v>
      </c>
      <c r="B25" s="29">
        <v>6.774</v>
      </c>
    </row>
    <row r="26" spans="1:2" ht="15.6" x14ac:dyDescent="0.3">
      <c r="A26" s="28">
        <v>45017</v>
      </c>
      <c r="B26" s="29">
        <v>6.9050000000000002</v>
      </c>
    </row>
    <row r="27" spans="1:2" ht="15.6" x14ac:dyDescent="0.3">
      <c r="A27" s="28">
        <v>44986</v>
      </c>
      <c r="B27" s="29">
        <v>7.1379999999999999</v>
      </c>
    </row>
    <row r="28" spans="1:2" ht="15.6" x14ac:dyDescent="0.3">
      <c r="A28" s="28">
        <v>44958</v>
      </c>
      <c r="B28" s="29">
        <v>7.2990000000000004</v>
      </c>
    </row>
    <row r="29" spans="1:2" ht="15.6" x14ac:dyDescent="0.3">
      <c r="A29" s="28">
        <v>44927</v>
      </c>
      <c r="B29" s="29">
        <v>6.7709999999999999</v>
      </c>
    </row>
    <row r="30" spans="1:2" ht="15.6" x14ac:dyDescent="0.3">
      <c r="A30" s="28">
        <v>44896</v>
      </c>
      <c r="B30" s="29">
        <v>6.7450000000000001</v>
      </c>
    </row>
    <row r="31" spans="1:2" ht="15.6" x14ac:dyDescent="0.3">
      <c r="A31" s="28">
        <v>44866</v>
      </c>
      <c r="B31" s="29">
        <v>6.7569999999999997</v>
      </c>
    </row>
    <row r="32" spans="1:2" ht="15.6" x14ac:dyDescent="0.3">
      <c r="A32" s="28">
        <v>44835</v>
      </c>
      <c r="B32" s="29">
        <v>6.8140000000000001</v>
      </c>
    </row>
    <row r="33" spans="1:2" ht="15.6" x14ac:dyDescent="0.3">
      <c r="A33" s="28">
        <v>44805</v>
      </c>
      <c r="B33" s="29">
        <v>6.7</v>
      </c>
    </row>
    <row r="34" spans="1:2" ht="15.6" x14ac:dyDescent="0.3">
      <c r="A34" s="28">
        <v>44774</v>
      </c>
      <c r="B34" s="29">
        <v>6.343</v>
      </c>
    </row>
    <row r="35" spans="1:2" ht="15.6" x14ac:dyDescent="0.3">
      <c r="A35" s="28">
        <v>44743</v>
      </c>
      <c r="B35" s="29">
        <v>6.3470000000000004</v>
      </c>
    </row>
    <row r="36" spans="1:2" ht="15.6" x14ac:dyDescent="0.3">
      <c r="A36" s="28">
        <v>44713</v>
      </c>
      <c r="B36" s="29">
        <v>6.2069999999999999</v>
      </c>
    </row>
    <row r="37" spans="1:2" ht="15.6" x14ac:dyDescent="0.3">
      <c r="A37" s="31">
        <v>44682</v>
      </c>
      <c r="B37" s="29">
        <v>6.0129999999999999</v>
      </c>
    </row>
    <row r="38" spans="1:2" ht="15.6" x14ac:dyDescent="0.3">
      <c r="A38" s="28">
        <v>44652</v>
      </c>
      <c r="B38" s="29">
        <v>4.8140000000000001</v>
      </c>
    </row>
    <row r="39" spans="1:2" ht="15.6" x14ac:dyDescent="0.3">
      <c r="A39" s="28">
        <v>44621</v>
      </c>
      <c r="B39" s="29">
        <v>4.3209999999999997</v>
      </c>
    </row>
    <row r="40" spans="1:2" ht="15.6" x14ac:dyDescent="0.3">
      <c r="A40" s="28">
        <v>44593</v>
      </c>
      <c r="B40" s="29">
        <v>4.3769999999999998</v>
      </c>
    </row>
    <row r="41" spans="1:2" ht="15.6" x14ac:dyDescent="0.3">
      <c r="A41" s="28">
        <v>44562</v>
      </c>
      <c r="B41" s="29">
        <v>4.4859999999999998</v>
      </c>
    </row>
    <row r="42" spans="1:2" ht="15.6" x14ac:dyDescent="0.3">
      <c r="A42" s="28">
        <v>44531</v>
      </c>
      <c r="B42" s="29">
        <v>4.367</v>
      </c>
    </row>
    <row r="43" spans="1:2" ht="15.6" x14ac:dyDescent="0.3">
      <c r="A43" s="28">
        <v>44501</v>
      </c>
      <c r="B43" s="29">
        <v>4.2590000000000003</v>
      </c>
    </row>
    <row r="44" spans="1:2" ht="15.6" x14ac:dyDescent="0.3">
      <c r="A44" s="28">
        <v>44470</v>
      </c>
      <c r="B44" s="29">
        <v>4.1070000000000002</v>
      </c>
    </row>
    <row r="45" spans="1:2" ht="15.6" x14ac:dyDescent="0.3">
      <c r="A45" s="28">
        <v>44440</v>
      </c>
      <c r="B45" s="29">
        <v>4.0259999999999998</v>
      </c>
    </row>
    <row r="46" spans="1:2" ht="15.6" x14ac:dyDescent="0.3">
      <c r="A46" s="28">
        <v>44409</v>
      </c>
      <c r="B46" s="29">
        <v>3.8490000000000002</v>
      </c>
    </row>
    <row r="47" spans="1:2" ht="15.6" x14ac:dyDescent="0.3">
      <c r="A47" s="28">
        <v>44378</v>
      </c>
      <c r="B47" s="29">
        <v>4.0410000000000004</v>
      </c>
    </row>
    <row r="48" spans="1:2" ht="15.6" x14ac:dyDescent="0.3">
      <c r="A48" s="28">
        <v>44348</v>
      </c>
      <c r="B48" s="29">
        <v>4.09</v>
      </c>
    </row>
    <row r="49" spans="1:2" ht="15.6" x14ac:dyDescent="0.3">
      <c r="A49" s="31">
        <v>44317</v>
      </c>
      <c r="B49" s="29">
        <v>3.7650000000000001</v>
      </c>
    </row>
    <row r="50" spans="1:2" ht="15.6" x14ac:dyDescent="0.3">
      <c r="A50" s="28">
        <v>44287</v>
      </c>
      <c r="B50" s="29">
        <v>3.819</v>
      </c>
    </row>
    <row r="51" spans="1:2" ht="15.6" x14ac:dyDescent="0.3">
      <c r="A51" s="28">
        <v>44256</v>
      </c>
      <c r="B51" s="29">
        <v>3.9260000000000002</v>
      </c>
    </row>
    <row r="52" spans="1:2" ht="15.6" x14ac:dyDescent="0.3">
      <c r="A52" s="28">
        <v>44228</v>
      </c>
      <c r="B52" s="29">
        <v>4.0709999999999997</v>
      </c>
    </row>
    <row r="53" spans="1:2" ht="15.6" x14ac:dyDescent="0.3">
      <c r="A53" s="28">
        <v>44197</v>
      </c>
      <c r="B53" s="29">
        <v>3.9039999999999999</v>
      </c>
    </row>
    <row r="54" spans="1:2" ht="15.6" x14ac:dyDescent="0.3">
      <c r="A54" s="28">
        <v>44166</v>
      </c>
      <c r="B54" s="29">
        <v>3.762</v>
      </c>
    </row>
    <row r="55" spans="1:2" ht="15.6" x14ac:dyDescent="0.3">
      <c r="A55" s="28">
        <v>44136</v>
      </c>
      <c r="B55" s="29">
        <v>3.33</v>
      </c>
    </row>
    <row r="56" spans="1:2" ht="15.6" x14ac:dyDescent="0.3">
      <c r="A56" s="28">
        <v>44105</v>
      </c>
      <c r="B56" s="29">
        <v>3.4729999999999999</v>
      </c>
    </row>
    <row r="57" spans="1:2" ht="15.6" x14ac:dyDescent="0.3">
      <c r="A57" s="28">
        <v>44075</v>
      </c>
      <c r="B57" s="29">
        <v>3.7080000000000002</v>
      </c>
    </row>
    <row r="58" spans="1:2" ht="15.6" x14ac:dyDescent="0.3">
      <c r="A58" s="28">
        <v>44044</v>
      </c>
      <c r="B58" s="29">
        <v>3.7410000000000001</v>
      </c>
    </row>
    <row r="59" spans="1:2" ht="15.6" x14ac:dyDescent="0.3">
      <c r="A59" s="28">
        <v>44013</v>
      </c>
      <c r="B59" s="29">
        <v>3.66</v>
      </c>
    </row>
    <row r="60" spans="1:2" ht="15.6" x14ac:dyDescent="0.3">
      <c r="A60" s="28">
        <v>43983</v>
      </c>
      <c r="B60" s="29">
        <v>3.7320000000000002</v>
      </c>
    </row>
    <row r="61" spans="1:2" ht="15.6" x14ac:dyDescent="0.3">
      <c r="A61" s="31">
        <v>43952</v>
      </c>
      <c r="B61" s="29">
        <v>3.6190000000000002</v>
      </c>
    </row>
    <row r="62" spans="1:2" ht="15.6" x14ac:dyDescent="0.3">
      <c r="A62" s="28">
        <v>43922</v>
      </c>
      <c r="B62" s="29">
        <v>3.9329999999999998</v>
      </c>
    </row>
    <row r="63" spans="1:2" ht="15.6" x14ac:dyDescent="0.3">
      <c r="A63" s="32" t="s">
        <v>42</v>
      </c>
      <c r="B63" s="33">
        <f>AVERAGE(B2:B62)</f>
        <v>5.6303114754098376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000"/>
  <sheetViews>
    <sheetView workbookViewId="0"/>
  </sheetViews>
  <sheetFormatPr defaultColWidth="12.6640625" defaultRowHeight="15.75" customHeight="1" x14ac:dyDescent="0.25"/>
  <cols>
    <col min="1" max="1" width="29.21875" customWidth="1"/>
  </cols>
  <sheetData>
    <row r="1" spans="1:8" x14ac:dyDescent="0.25">
      <c r="A1" s="65" t="s">
        <v>43</v>
      </c>
      <c r="B1" s="66"/>
      <c r="H1" s="34"/>
    </row>
    <row r="2" spans="1:8" x14ac:dyDescent="0.25">
      <c r="A2" s="35"/>
      <c r="B2" s="35"/>
      <c r="C2" s="36"/>
      <c r="H2" s="34"/>
    </row>
    <row r="3" spans="1:8" x14ac:dyDescent="0.25">
      <c r="A3" s="37" t="s">
        <v>44</v>
      </c>
      <c r="B3" s="38">
        <v>23350</v>
      </c>
      <c r="C3" s="36"/>
      <c r="H3" s="34"/>
    </row>
    <row r="4" spans="1:8" x14ac:dyDescent="0.25">
      <c r="A4" s="37" t="s">
        <v>45</v>
      </c>
      <c r="B4" s="38">
        <v>11240</v>
      </c>
      <c r="C4" s="36"/>
      <c r="H4" s="34"/>
    </row>
    <row r="5" spans="1:8" x14ac:dyDescent="0.25">
      <c r="A5" s="37" t="s">
        <v>46</v>
      </c>
      <c r="B5" s="38">
        <v>2.04</v>
      </c>
      <c r="C5" s="36"/>
      <c r="D5" s="67" t="s">
        <v>47</v>
      </c>
      <c r="E5" s="66"/>
      <c r="F5" s="66"/>
      <c r="H5" s="34"/>
    </row>
    <row r="6" spans="1:8" x14ac:dyDescent="0.25">
      <c r="A6" s="39"/>
      <c r="B6" s="39"/>
      <c r="C6" s="36"/>
      <c r="H6" s="34"/>
    </row>
    <row r="7" spans="1:8" x14ac:dyDescent="0.25">
      <c r="A7" s="37" t="s">
        <v>48</v>
      </c>
      <c r="B7" s="40">
        <v>2.5000000000000001E-2</v>
      </c>
      <c r="C7" s="41"/>
      <c r="H7" s="34"/>
    </row>
    <row r="8" spans="1:8" x14ac:dyDescent="0.25">
      <c r="A8" s="37" t="s">
        <v>49</v>
      </c>
      <c r="B8" s="40">
        <v>5.6300000000000003E-2</v>
      </c>
      <c r="C8" s="41"/>
      <c r="H8" s="34"/>
    </row>
    <row r="9" spans="1:8" x14ac:dyDescent="0.25">
      <c r="A9" s="37" t="s">
        <v>50</v>
      </c>
      <c r="B9" s="40">
        <f>B7+B8</f>
        <v>8.1300000000000011E-2</v>
      </c>
      <c r="C9" s="41"/>
      <c r="H9" s="34"/>
    </row>
    <row r="10" spans="1:8" x14ac:dyDescent="0.25">
      <c r="A10" s="39"/>
      <c r="B10" s="39"/>
      <c r="C10" s="36"/>
      <c r="H10" s="34"/>
    </row>
    <row r="11" spans="1:8" x14ac:dyDescent="0.25">
      <c r="A11" s="37" t="s">
        <v>51</v>
      </c>
      <c r="B11" s="42">
        <v>2651</v>
      </c>
      <c r="C11" s="36"/>
      <c r="H11" s="34"/>
    </row>
    <row r="12" spans="1:8" x14ac:dyDescent="0.25">
      <c r="A12" s="37" t="s">
        <v>52</v>
      </c>
      <c r="B12" s="38">
        <v>68.06</v>
      </c>
      <c r="C12" s="36"/>
      <c r="H12" s="34"/>
    </row>
    <row r="13" spans="1:8" x14ac:dyDescent="0.25">
      <c r="A13" s="37" t="s">
        <v>53</v>
      </c>
      <c r="B13" s="38">
        <f>B11*B12</f>
        <v>180427.06</v>
      </c>
      <c r="C13" s="36"/>
      <c r="H13" s="34"/>
    </row>
    <row r="14" spans="1:8" x14ac:dyDescent="0.25">
      <c r="H14" s="34"/>
    </row>
    <row r="15" spans="1:8" x14ac:dyDescent="0.25">
      <c r="H15" s="34"/>
    </row>
    <row r="16" spans="1:8" x14ac:dyDescent="0.25">
      <c r="H16" s="34"/>
    </row>
    <row r="17" spans="8:8" x14ac:dyDescent="0.25">
      <c r="H17" s="34"/>
    </row>
    <row r="18" spans="8:8" x14ac:dyDescent="0.25">
      <c r="H18" s="34"/>
    </row>
    <row r="19" spans="8:8" x14ac:dyDescent="0.25">
      <c r="H19" s="34"/>
    </row>
    <row r="20" spans="8:8" x14ac:dyDescent="0.25">
      <c r="H20" s="34"/>
    </row>
    <row r="21" spans="8:8" x14ac:dyDescent="0.25">
      <c r="H21" s="34"/>
    </row>
    <row r="22" spans="8:8" x14ac:dyDescent="0.25">
      <c r="H22" s="34"/>
    </row>
    <row r="23" spans="8:8" x14ac:dyDescent="0.25">
      <c r="H23" s="34"/>
    </row>
    <row r="24" spans="8:8" x14ac:dyDescent="0.25">
      <c r="H24" s="34"/>
    </row>
    <row r="25" spans="8:8" x14ac:dyDescent="0.25">
      <c r="H25" s="34"/>
    </row>
    <row r="26" spans="8:8" x14ac:dyDescent="0.25">
      <c r="H26" s="34"/>
    </row>
    <row r="27" spans="8:8" x14ac:dyDescent="0.25">
      <c r="H27" s="34"/>
    </row>
    <row r="28" spans="8:8" x14ac:dyDescent="0.25">
      <c r="H28" s="34"/>
    </row>
    <row r="29" spans="8:8" x14ac:dyDescent="0.25">
      <c r="H29" s="34"/>
    </row>
    <row r="30" spans="8:8" x14ac:dyDescent="0.25">
      <c r="H30" s="34"/>
    </row>
    <row r="31" spans="8:8" x14ac:dyDescent="0.25">
      <c r="H31" s="34"/>
    </row>
    <row r="32" spans="8:8" x14ac:dyDescent="0.25">
      <c r="H32" s="34"/>
    </row>
    <row r="33" spans="8:8" x14ac:dyDescent="0.25">
      <c r="H33" s="34"/>
    </row>
    <row r="34" spans="8:8" x14ac:dyDescent="0.25">
      <c r="H34" s="34"/>
    </row>
    <row r="35" spans="8:8" x14ac:dyDescent="0.25">
      <c r="H35" s="34"/>
    </row>
    <row r="36" spans="8:8" x14ac:dyDescent="0.25">
      <c r="H36" s="34"/>
    </row>
    <row r="37" spans="8:8" x14ac:dyDescent="0.25">
      <c r="H37" s="34"/>
    </row>
    <row r="38" spans="8:8" x14ac:dyDescent="0.25">
      <c r="H38" s="34"/>
    </row>
    <row r="39" spans="8:8" x14ac:dyDescent="0.25">
      <c r="H39" s="34"/>
    </row>
    <row r="40" spans="8:8" x14ac:dyDescent="0.25">
      <c r="H40" s="34"/>
    </row>
    <row r="41" spans="8:8" x14ac:dyDescent="0.25">
      <c r="H41" s="34"/>
    </row>
    <row r="42" spans="8:8" x14ac:dyDescent="0.25">
      <c r="H42" s="34"/>
    </row>
    <row r="43" spans="8:8" x14ac:dyDescent="0.25">
      <c r="H43" s="34"/>
    </row>
    <row r="44" spans="8:8" x14ac:dyDescent="0.25">
      <c r="H44" s="34"/>
    </row>
    <row r="45" spans="8:8" x14ac:dyDescent="0.25">
      <c r="H45" s="34"/>
    </row>
    <row r="46" spans="8:8" x14ac:dyDescent="0.25">
      <c r="H46" s="34"/>
    </row>
    <row r="47" spans="8:8" x14ac:dyDescent="0.25">
      <c r="H47" s="34"/>
    </row>
    <row r="48" spans="8:8" x14ac:dyDescent="0.25">
      <c r="H48" s="34"/>
    </row>
    <row r="49" spans="8:8" x14ac:dyDescent="0.25">
      <c r="H49" s="34"/>
    </row>
    <row r="50" spans="8:8" x14ac:dyDescent="0.25">
      <c r="H50" s="34"/>
    </row>
    <row r="51" spans="8:8" x14ac:dyDescent="0.25">
      <c r="H51" s="34"/>
    </row>
    <row r="52" spans="8:8" x14ac:dyDescent="0.25">
      <c r="H52" s="34"/>
    </row>
    <row r="53" spans="8:8" x14ac:dyDescent="0.25">
      <c r="H53" s="34"/>
    </row>
    <row r="54" spans="8:8" x14ac:dyDescent="0.25">
      <c r="H54" s="34"/>
    </row>
    <row r="55" spans="8:8" x14ac:dyDescent="0.25">
      <c r="H55" s="34"/>
    </row>
    <row r="56" spans="8:8" x14ac:dyDescent="0.25">
      <c r="H56" s="34"/>
    </row>
    <row r="57" spans="8:8" x14ac:dyDescent="0.25">
      <c r="H57" s="34"/>
    </row>
    <row r="58" spans="8:8" x14ac:dyDescent="0.25">
      <c r="H58" s="34"/>
    </row>
    <row r="59" spans="8:8" x14ac:dyDescent="0.25">
      <c r="H59" s="34"/>
    </row>
    <row r="60" spans="8:8" x14ac:dyDescent="0.25">
      <c r="H60" s="34"/>
    </row>
    <row r="61" spans="8:8" x14ac:dyDescent="0.25">
      <c r="H61" s="34"/>
    </row>
    <row r="62" spans="8:8" x14ac:dyDescent="0.25">
      <c r="H62" s="34"/>
    </row>
    <row r="63" spans="8:8" x14ac:dyDescent="0.25">
      <c r="H63" s="34"/>
    </row>
    <row r="64" spans="8:8" x14ac:dyDescent="0.25">
      <c r="H64" s="34"/>
    </row>
    <row r="65" spans="8:8" x14ac:dyDescent="0.25">
      <c r="H65" s="34"/>
    </row>
    <row r="66" spans="8:8" x14ac:dyDescent="0.25">
      <c r="H66" s="34"/>
    </row>
    <row r="67" spans="8:8" x14ac:dyDescent="0.25">
      <c r="H67" s="34"/>
    </row>
    <row r="68" spans="8:8" x14ac:dyDescent="0.25">
      <c r="H68" s="34"/>
    </row>
    <row r="69" spans="8:8" x14ac:dyDescent="0.25">
      <c r="H69" s="34"/>
    </row>
    <row r="70" spans="8:8" x14ac:dyDescent="0.25">
      <c r="H70" s="34"/>
    </row>
    <row r="71" spans="8:8" x14ac:dyDescent="0.25">
      <c r="H71" s="34"/>
    </row>
    <row r="72" spans="8:8" x14ac:dyDescent="0.25">
      <c r="H72" s="34"/>
    </row>
    <row r="73" spans="8:8" x14ac:dyDescent="0.25">
      <c r="H73" s="34"/>
    </row>
    <row r="74" spans="8:8" x14ac:dyDescent="0.25">
      <c r="H74" s="34"/>
    </row>
    <row r="75" spans="8:8" x14ac:dyDescent="0.25">
      <c r="H75" s="34"/>
    </row>
    <row r="76" spans="8:8" x14ac:dyDescent="0.25">
      <c r="H76" s="34"/>
    </row>
    <row r="77" spans="8:8" x14ac:dyDescent="0.25">
      <c r="H77" s="34"/>
    </row>
    <row r="78" spans="8:8" x14ac:dyDescent="0.25">
      <c r="H78" s="34"/>
    </row>
    <row r="79" spans="8:8" x14ac:dyDescent="0.25">
      <c r="H79" s="34"/>
    </row>
    <row r="80" spans="8:8" x14ac:dyDescent="0.25">
      <c r="H80" s="34"/>
    </row>
    <row r="81" spans="8:8" x14ac:dyDescent="0.25">
      <c r="H81" s="34"/>
    </row>
    <row r="82" spans="8:8" x14ac:dyDescent="0.25">
      <c r="H82" s="34"/>
    </row>
    <row r="83" spans="8:8" x14ac:dyDescent="0.25">
      <c r="H83" s="34"/>
    </row>
    <row r="84" spans="8:8" x14ac:dyDescent="0.25">
      <c r="H84" s="34"/>
    </row>
    <row r="85" spans="8:8" x14ac:dyDescent="0.25">
      <c r="H85" s="34"/>
    </row>
    <row r="86" spans="8:8" x14ac:dyDescent="0.25">
      <c r="H86" s="34"/>
    </row>
    <row r="87" spans="8:8" x14ac:dyDescent="0.25">
      <c r="H87" s="34"/>
    </row>
    <row r="88" spans="8:8" x14ac:dyDescent="0.25">
      <c r="H88" s="34"/>
    </row>
    <row r="89" spans="8:8" x14ac:dyDescent="0.25">
      <c r="H89" s="34"/>
    </row>
    <row r="90" spans="8:8" x14ac:dyDescent="0.25">
      <c r="H90" s="34"/>
    </row>
    <row r="91" spans="8:8" x14ac:dyDescent="0.25">
      <c r="H91" s="34"/>
    </row>
    <row r="92" spans="8:8" x14ac:dyDescent="0.25">
      <c r="H92" s="34"/>
    </row>
    <row r="93" spans="8:8" x14ac:dyDescent="0.25">
      <c r="H93" s="34"/>
    </row>
    <row r="94" spans="8:8" x14ac:dyDescent="0.25">
      <c r="H94" s="34"/>
    </row>
    <row r="95" spans="8:8" x14ac:dyDescent="0.25">
      <c r="H95" s="34"/>
    </row>
    <row r="96" spans="8:8" x14ac:dyDescent="0.25">
      <c r="H96" s="34"/>
    </row>
    <row r="97" spans="8:8" x14ac:dyDescent="0.25">
      <c r="H97" s="34"/>
    </row>
    <row r="98" spans="8:8" x14ac:dyDescent="0.25">
      <c r="H98" s="34"/>
    </row>
    <row r="99" spans="8:8" x14ac:dyDescent="0.25">
      <c r="H99" s="34"/>
    </row>
    <row r="100" spans="8:8" x14ac:dyDescent="0.25">
      <c r="H100" s="34"/>
    </row>
    <row r="101" spans="8:8" x14ac:dyDescent="0.25">
      <c r="H101" s="34"/>
    </row>
    <row r="102" spans="8:8" x14ac:dyDescent="0.25">
      <c r="H102" s="34"/>
    </row>
    <row r="103" spans="8:8" x14ac:dyDescent="0.25">
      <c r="H103" s="34"/>
    </row>
    <row r="104" spans="8:8" x14ac:dyDescent="0.25">
      <c r="H104" s="34"/>
    </row>
    <row r="105" spans="8:8" x14ac:dyDescent="0.25">
      <c r="H105" s="34"/>
    </row>
    <row r="106" spans="8:8" x14ac:dyDescent="0.25">
      <c r="H106" s="34"/>
    </row>
    <row r="107" spans="8:8" x14ac:dyDescent="0.25">
      <c r="H107" s="34"/>
    </row>
    <row r="108" spans="8:8" x14ac:dyDescent="0.25">
      <c r="H108" s="34"/>
    </row>
    <row r="109" spans="8:8" x14ac:dyDescent="0.25">
      <c r="H109" s="34"/>
    </row>
    <row r="110" spans="8:8" x14ac:dyDescent="0.25">
      <c r="H110" s="34"/>
    </row>
    <row r="111" spans="8:8" x14ac:dyDescent="0.25">
      <c r="H111" s="34"/>
    </row>
    <row r="112" spans="8:8" x14ac:dyDescent="0.25">
      <c r="H112" s="34"/>
    </row>
    <row r="113" spans="8:8" x14ac:dyDescent="0.25">
      <c r="H113" s="34"/>
    </row>
    <row r="114" spans="8:8" x14ac:dyDescent="0.25">
      <c r="H114" s="34"/>
    </row>
    <row r="115" spans="8:8" x14ac:dyDescent="0.25">
      <c r="H115" s="34"/>
    </row>
    <row r="116" spans="8:8" x14ac:dyDescent="0.25">
      <c r="H116" s="34"/>
    </row>
    <row r="117" spans="8:8" x14ac:dyDescent="0.25">
      <c r="H117" s="34"/>
    </row>
    <row r="118" spans="8:8" x14ac:dyDescent="0.25">
      <c r="H118" s="34"/>
    </row>
    <row r="119" spans="8:8" x14ac:dyDescent="0.25">
      <c r="H119" s="34"/>
    </row>
    <row r="120" spans="8:8" x14ac:dyDescent="0.25">
      <c r="H120" s="34"/>
    </row>
    <row r="121" spans="8:8" x14ac:dyDescent="0.25">
      <c r="H121" s="34"/>
    </row>
    <row r="122" spans="8:8" x14ac:dyDescent="0.25">
      <c r="H122" s="34"/>
    </row>
    <row r="123" spans="8:8" x14ac:dyDescent="0.25">
      <c r="H123" s="34"/>
    </row>
    <row r="124" spans="8:8" x14ac:dyDescent="0.25">
      <c r="H124" s="34"/>
    </row>
    <row r="125" spans="8:8" x14ac:dyDescent="0.25">
      <c r="H125" s="34"/>
    </row>
    <row r="126" spans="8:8" x14ac:dyDescent="0.25">
      <c r="H126" s="34"/>
    </row>
    <row r="127" spans="8:8" x14ac:dyDescent="0.25">
      <c r="H127" s="34"/>
    </row>
    <row r="128" spans="8:8" x14ac:dyDescent="0.25">
      <c r="H128" s="34"/>
    </row>
    <row r="129" spans="8:8" x14ac:dyDescent="0.25">
      <c r="H129" s="34"/>
    </row>
    <row r="130" spans="8:8" x14ac:dyDescent="0.25">
      <c r="H130" s="34"/>
    </row>
    <row r="131" spans="8:8" x14ac:dyDescent="0.25">
      <c r="H131" s="34"/>
    </row>
    <row r="132" spans="8:8" x14ac:dyDescent="0.25">
      <c r="H132" s="34"/>
    </row>
    <row r="133" spans="8:8" x14ac:dyDescent="0.25">
      <c r="H133" s="34"/>
    </row>
    <row r="134" spans="8:8" x14ac:dyDescent="0.25">
      <c r="H134" s="34"/>
    </row>
    <row r="135" spans="8:8" x14ac:dyDescent="0.25">
      <c r="H135" s="34"/>
    </row>
    <row r="136" spans="8:8" x14ac:dyDescent="0.25">
      <c r="H136" s="34"/>
    </row>
    <row r="137" spans="8:8" x14ac:dyDescent="0.25">
      <c r="H137" s="34"/>
    </row>
    <row r="138" spans="8:8" x14ac:dyDescent="0.25">
      <c r="H138" s="34"/>
    </row>
    <row r="139" spans="8:8" x14ac:dyDescent="0.25">
      <c r="H139" s="34"/>
    </row>
    <row r="140" spans="8:8" x14ac:dyDescent="0.25">
      <c r="H140" s="34"/>
    </row>
    <row r="141" spans="8:8" x14ac:dyDescent="0.25">
      <c r="H141" s="34"/>
    </row>
    <row r="142" spans="8:8" x14ac:dyDescent="0.25">
      <c r="H142" s="34"/>
    </row>
    <row r="143" spans="8:8" x14ac:dyDescent="0.25">
      <c r="H143" s="34"/>
    </row>
    <row r="144" spans="8:8" x14ac:dyDescent="0.25">
      <c r="H144" s="34"/>
    </row>
    <row r="145" spans="8:8" x14ac:dyDescent="0.25">
      <c r="H145" s="34"/>
    </row>
    <row r="146" spans="8:8" x14ac:dyDescent="0.25">
      <c r="H146" s="34"/>
    </row>
    <row r="147" spans="8:8" x14ac:dyDescent="0.25">
      <c r="H147" s="34"/>
    </row>
    <row r="148" spans="8:8" x14ac:dyDescent="0.25">
      <c r="H148" s="34"/>
    </row>
    <row r="149" spans="8:8" x14ac:dyDescent="0.25">
      <c r="H149" s="34"/>
    </row>
    <row r="150" spans="8:8" x14ac:dyDescent="0.25">
      <c r="H150" s="34"/>
    </row>
    <row r="151" spans="8:8" x14ac:dyDescent="0.25">
      <c r="H151" s="34"/>
    </row>
    <row r="152" spans="8:8" x14ac:dyDescent="0.25">
      <c r="H152" s="34"/>
    </row>
    <row r="153" spans="8:8" x14ac:dyDescent="0.25">
      <c r="H153" s="34"/>
    </row>
    <row r="154" spans="8:8" x14ac:dyDescent="0.25">
      <c r="H154" s="34"/>
    </row>
    <row r="155" spans="8:8" x14ac:dyDescent="0.25">
      <c r="H155" s="34"/>
    </row>
    <row r="156" spans="8:8" x14ac:dyDescent="0.25">
      <c r="H156" s="34"/>
    </row>
    <row r="157" spans="8:8" x14ac:dyDescent="0.25">
      <c r="H157" s="34"/>
    </row>
    <row r="158" spans="8:8" x14ac:dyDescent="0.25">
      <c r="H158" s="34"/>
    </row>
    <row r="159" spans="8:8" x14ac:dyDescent="0.25">
      <c r="H159" s="34"/>
    </row>
    <row r="160" spans="8:8" x14ac:dyDescent="0.25">
      <c r="H160" s="34"/>
    </row>
    <row r="161" spans="8:8" x14ac:dyDescent="0.25">
      <c r="H161" s="34"/>
    </row>
    <row r="162" spans="8:8" x14ac:dyDescent="0.25">
      <c r="H162" s="34"/>
    </row>
    <row r="163" spans="8:8" x14ac:dyDescent="0.25">
      <c r="H163" s="34"/>
    </row>
    <row r="164" spans="8:8" x14ac:dyDescent="0.25">
      <c r="H164" s="34"/>
    </row>
    <row r="165" spans="8:8" x14ac:dyDescent="0.25">
      <c r="H165" s="34"/>
    </row>
    <row r="166" spans="8:8" x14ac:dyDescent="0.25">
      <c r="H166" s="34"/>
    </row>
    <row r="167" spans="8:8" x14ac:dyDescent="0.25">
      <c r="H167" s="34"/>
    </row>
    <row r="168" spans="8:8" x14ac:dyDescent="0.25">
      <c r="H168" s="34"/>
    </row>
    <row r="169" spans="8:8" x14ac:dyDescent="0.25">
      <c r="H169" s="34"/>
    </row>
    <row r="170" spans="8:8" x14ac:dyDescent="0.25">
      <c r="H170" s="34"/>
    </row>
    <row r="171" spans="8:8" x14ac:dyDescent="0.25">
      <c r="H171" s="34"/>
    </row>
    <row r="172" spans="8:8" x14ac:dyDescent="0.25">
      <c r="H172" s="34"/>
    </row>
    <row r="173" spans="8:8" x14ac:dyDescent="0.25">
      <c r="H173" s="34"/>
    </row>
    <row r="174" spans="8:8" x14ac:dyDescent="0.25">
      <c r="H174" s="34"/>
    </row>
    <row r="175" spans="8:8" x14ac:dyDescent="0.25">
      <c r="H175" s="34"/>
    </row>
    <row r="176" spans="8:8" x14ac:dyDescent="0.25">
      <c r="H176" s="34"/>
    </row>
    <row r="177" spans="8:8" x14ac:dyDescent="0.25">
      <c r="H177" s="34"/>
    </row>
    <row r="178" spans="8:8" x14ac:dyDescent="0.25">
      <c r="H178" s="34"/>
    </row>
    <row r="179" spans="8:8" x14ac:dyDescent="0.25">
      <c r="H179" s="34"/>
    </row>
    <row r="180" spans="8:8" x14ac:dyDescent="0.25">
      <c r="H180" s="34"/>
    </row>
    <row r="181" spans="8:8" x14ac:dyDescent="0.25">
      <c r="H181" s="34"/>
    </row>
    <row r="182" spans="8:8" x14ac:dyDescent="0.25">
      <c r="H182" s="34"/>
    </row>
    <row r="183" spans="8:8" x14ac:dyDescent="0.25">
      <c r="H183" s="34"/>
    </row>
    <row r="184" spans="8:8" x14ac:dyDescent="0.25">
      <c r="H184" s="34"/>
    </row>
    <row r="185" spans="8:8" x14ac:dyDescent="0.25">
      <c r="H185" s="34"/>
    </row>
    <row r="186" spans="8:8" x14ac:dyDescent="0.25">
      <c r="H186" s="34"/>
    </row>
    <row r="187" spans="8:8" x14ac:dyDescent="0.25">
      <c r="H187" s="34"/>
    </row>
    <row r="188" spans="8:8" x14ac:dyDescent="0.25">
      <c r="H188" s="34"/>
    </row>
    <row r="189" spans="8:8" x14ac:dyDescent="0.25">
      <c r="H189" s="34"/>
    </row>
    <row r="190" spans="8:8" x14ac:dyDescent="0.25">
      <c r="H190" s="34"/>
    </row>
    <row r="191" spans="8:8" x14ac:dyDescent="0.25">
      <c r="H191" s="34"/>
    </row>
    <row r="192" spans="8:8" x14ac:dyDescent="0.25">
      <c r="H192" s="34"/>
    </row>
    <row r="193" spans="8:8" x14ac:dyDescent="0.25">
      <c r="H193" s="34"/>
    </row>
    <row r="194" spans="8:8" x14ac:dyDescent="0.25">
      <c r="H194" s="34"/>
    </row>
    <row r="195" spans="8:8" x14ac:dyDescent="0.25">
      <c r="H195" s="34"/>
    </row>
    <row r="196" spans="8:8" x14ac:dyDescent="0.25">
      <c r="H196" s="34"/>
    </row>
    <row r="197" spans="8:8" x14ac:dyDescent="0.25">
      <c r="H197" s="34"/>
    </row>
    <row r="198" spans="8:8" x14ac:dyDescent="0.25">
      <c r="H198" s="34"/>
    </row>
    <row r="199" spans="8:8" x14ac:dyDescent="0.25">
      <c r="H199" s="34"/>
    </row>
    <row r="200" spans="8:8" x14ac:dyDescent="0.25">
      <c r="H200" s="34"/>
    </row>
    <row r="201" spans="8:8" x14ac:dyDescent="0.25">
      <c r="H201" s="34"/>
    </row>
    <row r="202" spans="8:8" x14ac:dyDescent="0.25">
      <c r="H202" s="34"/>
    </row>
    <row r="203" spans="8:8" x14ac:dyDescent="0.25">
      <c r="H203" s="34"/>
    </row>
    <row r="204" spans="8:8" x14ac:dyDescent="0.25">
      <c r="H204" s="34"/>
    </row>
    <row r="205" spans="8:8" x14ac:dyDescent="0.25">
      <c r="H205" s="34"/>
    </row>
    <row r="206" spans="8:8" x14ac:dyDescent="0.25">
      <c r="H206" s="34"/>
    </row>
    <row r="207" spans="8:8" x14ac:dyDescent="0.25">
      <c r="H207" s="34"/>
    </row>
    <row r="208" spans="8:8" x14ac:dyDescent="0.25">
      <c r="H208" s="34"/>
    </row>
    <row r="209" spans="8:8" x14ac:dyDescent="0.25">
      <c r="H209" s="34"/>
    </row>
    <row r="210" spans="8:8" x14ac:dyDescent="0.25">
      <c r="H210" s="34"/>
    </row>
    <row r="211" spans="8:8" x14ac:dyDescent="0.25">
      <c r="H211" s="34"/>
    </row>
    <row r="212" spans="8:8" x14ac:dyDescent="0.25">
      <c r="H212" s="34"/>
    </row>
    <row r="213" spans="8:8" x14ac:dyDescent="0.25">
      <c r="H213" s="34"/>
    </row>
    <row r="214" spans="8:8" x14ac:dyDescent="0.25">
      <c r="H214" s="34"/>
    </row>
    <row r="215" spans="8:8" x14ac:dyDescent="0.25">
      <c r="H215" s="34"/>
    </row>
    <row r="216" spans="8:8" x14ac:dyDescent="0.25">
      <c r="H216" s="34"/>
    </row>
    <row r="217" spans="8:8" x14ac:dyDescent="0.25">
      <c r="H217" s="34"/>
    </row>
    <row r="218" spans="8:8" x14ac:dyDescent="0.25">
      <c r="H218" s="34"/>
    </row>
    <row r="219" spans="8:8" x14ac:dyDescent="0.25">
      <c r="H219" s="34"/>
    </row>
    <row r="220" spans="8:8" x14ac:dyDescent="0.25">
      <c r="H220" s="34"/>
    </row>
    <row r="221" spans="8:8" x14ac:dyDescent="0.25">
      <c r="H221" s="34"/>
    </row>
    <row r="222" spans="8:8" x14ac:dyDescent="0.25">
      <c r="H222" s="34"/>
    </row>
    <row r="223" spans="8:8" x14ac:dyDescent="0.25">
      <c r="H223" s="34"/>
    </row>
    <row r="224" spans="8:8" x14ac:dyDescent="0.25">
      <c r="H224" s="34"/>
    </row>
    <row r="225" spans="8:8" x14ac:dyDescent="0.25">
      <c r="H225" s="34"/>
    </row>
    <row r="226" spans="8:8" x14ac:dyDescent="0.25">
      <c r="H226" s="34"/>
    </row>
    <row r="227" spans="8:8" x14ac:dyDescent="0.25">
      <c r="H227" s="34"/>
    </row>
    <row r="228" spans="8:8" x14ac:dyDescent="0.25">
      <c r="H228" s="34"/>
    </row>
    <row r="229" spans="8:8" x14ac:dyDescent="0.25">
      <c r="H229" s="34"/>
    </row>
    <row r="230" spans="8:8" x14ac:dyDescent="0.25">
      <c r="H230" s="34"/>
    </row>
    <row r="231" spans="8:8" x14ac:dyDescent="0.25">
      <c r="H231" s="34"/>
    </row>
    <row r="232" spans="8:8" x14ac:dyDescent="0.25">
      <c r="H232" s="34"/>
    </row>
    <row r="233" spans="8:8" x14ac:dyDescent="0.25">
      <c r="H233" s="34"/>
    </row>
    <row r="234" spans="8:8" x14ac:dyDescent="0.25">
      <c r="H234" s="34"/>
    </row>
    <row r="235" spans="8:8" x14ac:dyDescent="0.25">
      <c r="H235" s="34"/>
    </row>
    <row r="236" spans="8:8" x14ac:dyDescent="0.25">
      <c r="H236" s="34"/>
    </row>
    <row r="237" spans="8:8" x14ac:dyDescent="0.25">
      <c r="H237" s="34"/>
    </row>
    <row r="238" spans="8:8" x14ac:dyDescent="0.25">
      <c r="H238" s="34"/>
    </row>
    <row r="239" spans="8:8" x14ac:dyDescent="0.25">
      <c r="H239" s="34"/>
    </row>
    <row r="240" spans="8:8" x14ac:dyDescent="0.25">
      <c r="H240" s="34"/>
    </row>
    <row r="241" spans="8:8" x14ac:dyDescent="0.25">
      <c r="H241" s="34"/>
    </row>
    <row r="242" spans="8:8" x14ac:dyDescent="0.25">
      <c r="H242" s="34"/>
    </row>
    <row r="243" spans="8:8" x14ac:dyDescent="0.25">
      <c r="H243" s="34"/>
    </row>
    <row r="244" spans="8:8" x14ac:dyDescent="0.25">
      <c r="H244" s="34"/>
    </row>
    <row r="245" spans="8:8" x14ac:dyDescent="0.25">
      <c r="H245" s="34"/>
    </row>
    <row r="246" spans="8:8" x14ac:dyDescent="0.25">
      <c r="H246" s="34"/>
    </row>
    <row r="247" spans="8:8" x14ac:dyDescent="0.25">
      <c r="H247" s="34"/>
    </row>
    <row r="248" spans="8:8" x14ac:dyDescent="0.25">
      <c r="H248" s="34"/>
    </row>
    <row r="249" spans="8:8" x14ac:dyDescent="0.25">
      <c r="H249" s="34"/>
    </row>
    <row r="250" spans="8:8" x14ac:dyDescent="0.25">
      <c r="H250" s="34"/>
    </row>
    <row r="251" spans="8:8" x14ac:dyDescent="0.25">
      <c r="H251" s="34"/>
    </row>
    <row r="252" spans="8:8" x14ac:dyDescent="0.25">
      <c r="H252" s="34"/>
    </row>
    <row r="253" spans="8:8" x14ac:dyDescent="0.25">
      <c r="H253" s="34"/>
    </row>
    <row r="254" spans="8:8" x14ac:dyDescent="0.25">
      <c r="H254" s="34"/>
    </row>
    <row r="255" spans="8:8" x14ac:dyDescent="0.25">
      <c r="H255" s="34"/>
    </row>
    <row r="256" spans="8:8" x14ac:dyDescent="0.25">
      <c r="H256" s="34"/>
    </row>
    <row r="257" spans="8:8" x14ac:dyDescent="0.25">
      <c r="H257" s="34"/>
    </row>
    <row r="258" spans="8:8" x14ac:dyDescent="0.25">
      <c r="H258" s="34"/>
    </row>
    <row r="259" spans="8:8" x14ac:dyDescent="0.25">
      <c r="H259" s="34"/>
    </row>
    <row r="260" spans="8:8" x14ac:dyDescent="0.25">
      <c r="H260" s="34"/>
    </row>
    <row r="261" spans="8:8" x14ac:dyDescent="0.25">
      <c r="H261" s="34"/>
    </row>
    <row r="262" spans="8:8" x14ac:dyDescent="0.25">
      <c r="H262" s="34"/>
    </row>
    <row r="263" spans="8:8" x14ac:dyDescent="0.25">
      <c r="H263" s="34"/>
    </row>
    <row r="264" spans="8:8" x14ac:dyDescent="0.25">
      <c r="H264" s="34"/>
    </row>
    <row r="265" spans="8:8" x14ac:dyDescent="0.25">
      <c r="H265" s="34"/>
    </row>
    <row r="266" spans="8:8" x14ac:dyDescent="0.25">
      <c r="H266" s="34"/>
    </row>
    <row r="267" spans="8:8" x14ac:dyDescent="0.25">
      <c r="H267" s="34"/>
    </row>
    <row r="268" spans="8:8" x14ac:dyDescent="0.25">
      <c r="H268" s="34"/>
    </row>
    <row r="269" spans="8:8" x14ac:dyDescent="0.25">
      <c r="H269" s="34"/>
    </row>
    <row r="270" spans="8:8" x14ac:dyDescent="0.25">
      <c r="H270" s="34"/>
    </row>
    <row r="271" spans="8:8" x14ac:dyDescent="0.25">
      <c r="H271" s="34"/>
    </row>
    <row r="272" spans="8:8" x14ac:dyDescent="0.25">
      <c r="H272" s="34"/>
    </row>
    <row r="273" spans="8:8" x14ac:dyDescent="0.25">
      <c r="H273" s="34"/>
    </row>
    <row r="274" spans="8:8" x14ac:dyDescent="0.25">
      <c r="H274" s="34"/>
    </row>
    <row r="275" spans="8:8" x14ac:dyDescent="0.25">
      <c r="H275" s="34"/>
    </row>
    <row r="276" spans="8:8" x14ac:dyDescent="0.25">
      <c r="H276" s="34"/>
    </row>
    <row r="277" spans="8:8" x14ac:dyDescent="0.25">
      <c r="H277" s="34"/>
    </row>
    <row r="278" spans="8:8" x14ac:dyDescent="0.25">
      <c r="H278" s="34"/>
    </row>
    <row r="279" spans="8:8" x14ac:dyDescent="0.25">
      <c r="H279" s="34"/>
    </row>
    <row r="280" spans="8:8" x14ac:dyDescent="0.25">
      <c r="H280" s="34"/>
    </row>
    <row r="281" spans="8:8" x14ac:dyDescent="0.25">
      <c r="H281" s="34"/>
    </row>
    <row r="282" spans="8:8" x14ac:dyDescent="0.25">
      <c r="H282" s="34"/>
    </row>
    <row r="283" spans="8:8" x14ac:dyDescent="0.25">
      <c r="H283" s="34"/>
    </row>
    <row r="284" spans="8:8" x14ac:dyDescent="0.25">
      <c r="H284" s="34"/>
    </row>
    <row r="285" spans="8:8" x14ac:dyDescent="0.25">
      <c r="H285" s="34"/>
    </row>
    <row r="286" spans="8:8" x14ac:dyDescent="0.25">
      <c r="H286" s="34"/>
    </row>
    <row r="287" spans="8:8" x14ac:dyDescent="0.25">
      <c r="H287" s="34"/>
    </row>
    <row r="288" spans="8:8" x14ac:dyDescent="0.25">
      <c r="H288" s="34"/>
    </row>
    <row r="289" spans="8:8" x14ac:dyDescent="0.25">
      <c r="H289" s="34"/>
    </row>
    <row r="290" spans="8:8" x14ac:dyDescent="0.25">
      <c r="H290" s="34"/>
    </row>
    <row r="291" spans="8:8" x14ac:dyDescent="0.25">
      <c r="H291" s="34"/>
    </row>
    <row r="292" spans="8:8" x14ac:dyDescent="0.25">
      <c r="H292" s="34"/>
    </row>
    <row r="293" spans="8:8" x14ac:dyDescent="0.25">
      <c r="H293" s="34"/>
    </row>
    <row r="294" spans="8:8" x14ac:dyDescent="0.25">
      <c r="H294" s="34"/>
    </row>
    <row r="295" spans="8:8" x14ac:dyDescent="0.25">
      <c r="H295" s="34"/>
    </row>
    <row r="296" spans="8:8" x14ac:dyDescent="0.25">
      <c r="H296" s="34"/>
    </row>
    <row r="297" spans="8:8" x14ac:dyDescent="0.25">
      <c r="H297" s="34"/>
    </row>
    <row r="298" spans="8:8" x14ac:dyDescent="0.25">
      <c r="H298" s="34"/>
    </row>
    <row r="299" spans="8:8" x14ac:dyDescent="0.25">
      <c r="H299" s="34"/>
    </row>
    <row r="300" spans="8:8" x14ac:dyDescent="0.25">
      <c r="H300" s="34"/>
    </row>
    <row r="301" spans="8:8" x14ac:dyDescent="0.25">
      <c r="H301" s="34"/>
    </row>
    <row r="302" spans="8:8" x14ac:dyDescent="0.25">
      <c r="H302" s="34"/>
    </row>
    <row r="303" spans="8:8" x14ac:dyDescent="0.25">
      <c r="H303" s="34"/>
    </row>
    <row r="304" spans="8:8" x14ac:dyDescent="0.25">
      <c r="H304" s="34"/>
    </row>
    <row r="305" spans="8:8" x14ac:dyDescent="0.25">
      <c r="H305" s="34"/>
    </row>
    <row r="306" spans="8:8" x14ac:dyDescent="0.25">
      <c r="H306" s="34"/>
    </row>
    <row r="307" spans="8:8" x14ac:dyDescent="0.25">
      <c r="H307" s="34"/>
    </row>
    <row r="308" spans="8:8" x14ac:dyDescent="0.25">
      <c r="H308" s="34"/>
    </row>
    <row r="309" spans="8:8" x14ac:dyDescent="0.25">
      <c r="H309" s="34"/>
    </row>
    <row r="310" spans="8:8" x14ac:dyDescent="0.25">
      <c r="H310" s="34"/>
    </row>
    <row r="311" spans="8:8" x14ac:dyDescent="0.25">
      <c r="H311" s="34"/>
    </row>
    <row r="312" spans="8:8" x14ac:dyDescent="0.25">
      <c r="H312" s="34"/>
    </row>
    <row r="313" spans="8:8" x14ac:dyDescent="0.25">
      <c r="H313" s="34"/>
    </row>
    <row r="314" spans="8:8" x14ac:dyDescent="0.25">
      <c r="H314" s="34"/>
    </row>
    <row r="315" spans="8:8" x14ac:dyDescent="0.25">
      <c r="H315" s="34"/>
    </row>
    <row r="316" spans="8:8" x14ac:dyDescent="0.25">
      <c r="H316" s="34"/>
    </row>
    <row r="317" spans="8:8" x14ac:dyDescent="0.25">
      <c r="H317" s="34"/>
    </row>
    <row r="318" spans="8:8" x14ac:dyDescent="0.25">
      <c r="H318" s="34"/>
    </row>
    <row r="319" spans="8:8" x14ac:dyDescent="0.25">
      <c r="H319" s="34"/>
    </row>
    <row r="320" spans="8:8" x14ac:dyDescent="0.25">
      <c r="H320" s="34"/>
    </row>
    <row r="321" spans="8:8" x14ac:dyDescent="0.25">
      <c r="H321" s="34"/>
    </row>
    <row r="322" spans="8:8" x14ac:dyDescent="0.25">
      <c r="H322" s="34"/>
    </row>
    <row r="323" spans="8:8" x14ac:dyDescent="0.25">
      <c r="H323" s="34"/>
    </row>
    <row r="324" spans="8:8" x14ac:dyDescent="0.25">
      <c r="H324" s="34"/>
    </row>
    <row r="325" spans="8:8" x14ac:dyDescent="0.25">
      <c r="H325" s="34"/>
    </row>
    <row r="326" spans="8:8" x14ac:dyDescent="0.25">
      <c r="H326" s="34"/>
    </row>
    <row r="327" spans="8:8" x14ac:dyDescent="0.25">
      <c r="H327" s="34"/>
    </row>
    <row r="328" spans="8:8" x14ac:dyDescent="0.25">
      <c r="H328" s="34"/>
    </row>
    <row r="329" spans="8:8" x14ac:dyDescent="0.25">
      <c r="H329" s="34"/>
    </row>
    <row r="330" spans="8:8" x14ac:dyDescent="0.25">
      <c r="H330" s="34"/>
    </row>
    <row r="331" spans="8:8" x14ac:dyDescent="0.25">
      <c r="H331" s="34"/>
    </row>
    <row r="332" spans="8:8" x14ac:dyDescent="0.25">
      <c r="H332" s="34"/>
    </row>
    <row r="333" spans="8:8" x14ac:dyDescent="0.25">
      <c r="H333" s="34"/>
    </row>
    <row r="334" spans="8:8" x14ac:dyDescent="0.25">
      <c r="H334" s="34"/>
    </row>
    <row r="335" spans="8:8" x14ac:dyDescent="0.25">
      <c r="H335" s="34"/>
    </row>
    <row r="336" spans="8:8" x14ac:dyDescent="0.25">
      <c r="H336" s="34"/>
    </row>
    <row r="337" spans="8:8" x14ac:dyDescent="0.25">
      <c r="H337" s="34"/>
    </row>
    <row r="338" spans="8:8" x14ac:dyDescent="0.25">
      <c r="H338" s="34"/>
    </row>
    <row r="339" spans="8:8" x14ac:dyDescent="0.25">
      <c r="H339" s="34"/>
    </row>
    <row r="340" spans="8:8" x14ac:dyDescent="0.25">
      <c r="H340" s="34"/>
    </row>
    <row r="341" spans="8:8" x14ac:dyDescent="0.25">
      <c r="H341" s="34"/>
    </row>
    <row r="342" spans="8:8" x14ac:dyDescent="0.25">
      <c r="H342" s="34"/>
    </row>
    <row r="343" spans="8:8" x14ac:dyDescent="0.25">
      <c r="H343" s="34"/>
    </row>
    <row r="344" spans="8:8" x14ac:dyDescent="0.25">
      <c r="H344" s="34"/>
    </row>
    <row r="345" spans="8:8" x14ac:dyDescent="0.25">
      <c r="H345" s="34"/>
    </row>
    <row r="346" spans="8:8" x14ac:dyDescent="0.25">
      <c r="H346" s="34"/>
    </row>
    <row r="347" spans="8:8" x14ac:dyDescent="0.25">
      <c r="H347" s="34"/>
    </row>
    <row r="348" spans="8:8" x14ac:dyDescent="0.25">
      <c r="H348" s="34"/>
    </row>
    <row r="349" spans="8:8" x14ac:dyDescent="0.25">
      <c r="H349" s="34"/>
    </row>
    <row r="350" spans="8:8" x14ac:dyDescent="0.25">
      <c r="H350" s="34"/>
    </row>
    <row r="351" spans="8:8" x14ac:dyDescent="0.25">
      <c r="H351" s="34"/>
    </row>
    <row r="352" spans="8:8" x14ac:dyDescent="0.25">
      <c r="H352" s="34"/>
    </row>
    <row r="353" spans="8:8" x14ac:dyDescent="0.25">
      <c r="H353" s="34"/>
    </row>
    <row r="354" spans="8:8" x14ac:dyDescent="0.25">
      <c r="H354" s="34"/>
    </row>
    <row r="355" spans="8:8" x14ac:dyDescent="0.25">
      <c r="H355" s="34"/>
    </row>
    <row r="356" spans="8:8" x14ac:dyDescent="0.25">
      <c r="H356" s="34"/>
    </row>
    <row r="357" spans="8:8" x14ac:dyDescent="0.25">
      <c r="H357" s="34"/>
    </row>
    <row r="358" spans="8:8" x14ac:dyDescent="0.25">
      <c r="H358" s="34"/>
    </row>
    <row r="359" spans="8:8" x14ac:dyDescent="0.25">
      <c r="H359" s="34"/>
    </row>
    <row r="360" spans="8:8" x14ac:dyDescent="0.25">
      <c r="H360" s="34"/>
    </row>
    <row r="361" spans="8:8" x14ac:dyDescent="0.25">
      <c r="H361" s="34"/>
    </row>
    <row r="362" spans="8:8" x14ac:dyDescent="0.25">
      <c r="H362" s="34"/>
    </row>
    <row r="363" spans="8:8" x14ac:dyDescent="0.25">
      <c r="H363" s="34"/>
    </row>
    <row r="364" spans="8:8" x14ac:dyDescent="0.25">
      <c r="H364" s="34"/>
    </row>
    <row r="365" spans="8:8" x14ac:dyDescent="0.25">
      <c r="H365" s="34"/>
    </row>
    <row r="366" spans="8:8" x14ac:dyDescent="0.25">
      <c r="H366" s="34"/>
    </row>
    <row r="367" spans="8:8" x14ac:dyDescent="0.25">
      <c r="H367" s="34"/>
    </row>
    <row r="368" spans="8:8" x14ac:dyDescent="0.25">
      <c r="H368" s="34"/>
    </row>
    <row r="369" spans="8:8" x14ac:dyDescent="0.25">
      <c r="H369" s="34"/>
    </row>
    <row r="370" spans="8:8" x14ac:dyDescent="0.25">
      <c r="H370" s="34"/>
    </row>
    <row r="371" spans="8:8" x14ac:dyDescent="0.25">
      <c r="H371" s="34"/>
    </row>
    <row r="372" spans="8:8" x14ac:dyDescent="0.25">
      <c r="H372" s="34"/>
    </row>
    <row r="373" spans="8:8" x14ac:dyDescent="0.25">
      <c r="H373" s="34"/>
    </row>
    <row r="374" spans="8:8" x14ac:dyDescent="0.25">
      <c r="H374" s="34"/>
    </row>
    <row r="375" spans="8:8" x14ac:dyDescent="0.25">
      <c r="H375" s="34"/>
    </row>
    <row r="376" spans="8:8" x14ac:dyDescent="0.25">
      <c r="H376" s="34"/>
    </row>
    <row r="377" spans="8:8" x14ac:dyDescent="0.25">
      <c r="H377" s="34"/>
    </row>
    <row r="378" spans="8:8" x14ac:dyDescent="0.25">
      <c r="H378" s="34"/>
    </row>
    <row r="379" spans="8:8" x14ac:dyDescent="0.25">
      <c r="H379" s="34"/>
    </row>
    <row r="380" spans="8:8" x14ac:dyDescent="0.25">
      <c r="H380" s="34"/>
    </row>
    <row r="381" spans="8:8" x14ac:dyDescent="0.25">
      <c r="H381" s="34"/>
    </row>
    <row r="382" spans="8:8" x14ac:dyDescent="0.25">
      <c r="H382" s="34"/>
    </row>
    <row r="383" spans="8:8" x14ac:dyDescent="0.25">
      <c r="H383" s="34"/>
    </row>
    <row r="384" spans="8:8" x14ac:dyDescent="0.25">
      <c r="H384" s="34"/>
    </row>
    <row r="385" spans="8:8" x14ac:dyDescent="0.25">
      <c r="H385" s="34"/>
    </row>
    <row r="386" spans="8:8" x14ac:dyDescent="0.25">
      <c r="H386" s="34"/>
    </row>
    <row r="387" spans="8:8" x14ac:dyDescent="0.25">
      <c r="H387" s="34"/>
    </row>
    <row r="388" spans="8:8" x14ac:dyDescent="0.25">
      <c r="H388" s="34"/>
    </row>
    <row r="389" spans="8:8" x14ac:dyDescent="0.25">
      <c r="H389" s="34"/>
    </row>
    <row r="390" spans="8:8" x14ac:dyDescent="0.25">
      <c r="H390" s="34"/>
    </row>
    <row r="391" spans="8:8" x14ac:dyDescent="0.25">
      <c r="H391" s="34"/>
    </row>
    <row r="392" spans="8:8" x14ac:dyDescent="0.25">
      <c r="H392" s="34"/>
    </row>
    <row r="393" spans="8:8" x14ac:dyDescent="0.25">
      <c r="H393" s="34"/>
    </row>
    <row r="394" spans="8:8" x14ac:dyDescent="0.25">
      <c r="H394" s="34"/>
    </row>
    <row r="395" spans="8:8" x14ac:dyDescent="0.25">
      <c r="H395" s="34"/>
    </row>
    <row r="396" spans="8:8" x14ac:dyDescent="0.25">
      <c r="H396" s="34"/>
    </row>
    <row r="397" spans="8:8" x14ac:dyDescent="0.25">
      <c r="H397" s="34"/>
    </row>
    <row r="398" spans="8:8" x14ac:dyDescent="0.25">
      <c r="H398" s="34"/>
    </row>
    <row r="399" spans="8:8" x14ac:dyDescent="0.25">
      <c r="H399" s="34"/>
    </row>
    <row r="400" spans="8:8" x14ac:dyDescent="0.25">
      <c r="H400" s="34"/>
    </row>
    <row r="401" spans="8:8" x14ac:dyDescent="0.25">
      <c r="H401" s="34"/>
    </row>
    <row r="402" spans="8:8" x14ac:dyDescent="0.25">
      <c r="H402" s="34"/>
    </row>
    <row r="403" spans="8:8" x14ac:dyDescent="0.25">
      <c r="H403" s="34"/>
    </row>
    <row r="404" spans="8:8" x14ac:dyDescent="0.25">
      <c r="H404" s="34"/>
    </row>
    <row r="405" spans="8:8" x14ac:dyDescent="0.25">
      <c r="H405" s="34"/>
    </row>
    <row r="406" spans="8:8" x14ac:dyDescent="0.25">
      <c r="H406" s="34"/>
    </row>
    <row r="407" spans="8:8" x14ac:dyDescent="0.25">
      <c r="H407" s="34"/>
    </row>
    <row r="408" spans="8:8" x14ac:dyDescent="0.25">
      <c r="H408" s="34"/>
    </row>
    <row r="409" spans="8:8" x14ac:dyDescent="0.25">
      <c r="H409" s="34"/>
    </row>
    <row r="410" spans="8:8" x14ac:dyDescent="0.25">
      <c r="H410" s="34"/>
    </row>
    <row r="411" spans="8:8" x14ac:dyDescent="0.25">
      <c r="H411" s="34"/>
    </row>
    <row r="412" spans="8:8" x14ac:dyDescent="0.25">
      <c r="H412" s="34"/>
    </row>
    <row r="413" spans="8:8" x14ac:dyDescent="0.25">
      <c r="H413" s="34"/>
    </row>
    <row r="414" spans="8:8" x14ac:dyDescent="0.25">
      <c r="H414" s="34"/>
    </row>
    <row r="415" spans="8:8" x14ac:dyDescent="0.25">
      <c r="H415" s="34"/>
    </row>
    <row r="416" spans="8:8" x14ac:dyDescent="0.25">
      <c r="H416" s="34"/>
    </row>
    <row r="417" spans="8:8" x14ac:dyDescent="0.25">
      <c r="H417" s="34"/>
    </row>
    <row r="418" spans="8:8" x14ac:dyDescent="0.25">
      <c r="H418" s="34"/>
    </row>
    <row r="419" spans="8:8" x14ac:dyDescent="0.25">
      <c r="H419" s="34"/>
    </row>
    <row r="420" spans="8:8" x14ac:dyDescent="0.25">
      <c r="H420" s="34"/>
    </row>
    <row r="421" spans="8:8" x14ac:dyDescent="0.25">
      <c r="H421" s="34"/>
    </row>
    <row r="422" spans="8:8" x14ac:dyDescent="0.25">
      <c r="H422" s="34"/>
    </row>
    <row r="423" spans="8:8" x14ac:dyDescent="0.25">
      <c r="H423" s="34"/>
    </row>
    <row r="424" spans="8:8" x14ac:dyDescent="0.25">
      <c r="H424" s="34"/>
    </row>
    <row r="425" spans="8:8" x14ac:dyDescent="0.25">
      <c r="H425" s="34"/>
    </row>
    <row r="426" spans="8:8" x14ac:dyDescent="0.25">
      <c r="H426" s="34"/>
    </row>
    <row r="427" spans="8:8" x14ac:dyDescent="0.25">
      <c r="H427" s="34"/>
    </row>
    <row r="428" spans="8:8" x14ac:dyDescent="0.25">
      <c r="H428" s="34"/>
    </row>
    <row r="429" spans="8:8" x14ac:dyDescent="0.25">
      <c r="H429" s="34"/>
    </row>
    <row r="430" spans="8:8" x14ac:dyDescent="0.25">
      <c r="H430" s="34"/>
    </row>
    <row r="431" spans="8:8" x14ac:dyDescent="0.25">
      <c r="H431" s="34"/>
    </row>
    <row r="432" spans="8:8" x14ac:dyDescent="0.25">
      <c r="H432" s="34"/>
    </row>
    <row r="433" spans="8:8" x14ac:dyDescent="0.25">
      <c r="H433" s="34"/>
    </row>
    <row r="434" spans="8:8" x14ac:dyDescent="0.25">
      <c r="H434" s="34"/>
    </row>
    <row r="435" spans="8:8" x14ac:dyDescent="0.25">
      <c r="H435" s="34"/>
    </row>
    <row r="436" spans="8:8" x14ac:dyDescent="0.25">
      <c r="H436" s="34"/>
    </row>
    <row r="437" spans="8:8" x14ac:dyDescent="0.25">
      <c r="H437" s="34"/>
    </row>
    <row r="438" spans="8:8" x14ac:dyDescent="0.25">
      <c r="H438" s="34"/>
    </row>
    <row r="439" spans="8:8" x14ac:dyDescent="0.25">
      <c r="H439" s="34"/>
    </row>
    <row r="440" spans="8:8" x14ac:dyDescent="0.25">
      <c r="H440" s="34"/>
    </row>
    <row r="441" spans="8:8" x14ac:dyDescent="0.25">
      <c r="H441" s="34"/>
    </row>
    <row r="442" spans="8:8" x14ac:dyDescent="0.25">
      <c r="H442" s="34"/>
    </row>
    <row r="443" spans="8:8" x14ac:dyDescent="0.25">
      <c r="H443" s="34"/>
    </row>
    <row r="444" spans="8:8" x14ac:dyDescent="0.25">
      <c r="H444" s="34"/>
    </row>
    <row r="445" spans="8:8" x14ac:dyDescent="0.25">
      <c r="H445" s="34"/>
    </row>
    <row r="446" spans="8:8" x14ac:dyDescent="0.25">
      <c r="H446" s="34"/>
    </row>
    <row r="447" spans="8:8" x14ac:dyDescent="0.25">
      <c r="H447" s="34"/>
    </row>
    <row r="448" spans="8:8" x14ac:dyDescent="0.25">
      <c r="H448" s="34"/>
    </row>
    <row r="449" spans="8:8" x14ac:dyDescent="0.25">
      <c r="H449" s="34"/>
    </row>
    <row r="450" spans="8:8" x14ac:dyDescent="0.25">
      <c r="H450" s="34"/>
    </row>
    <row r="451" spans="8:8" x14ac:dyDescent="0.25">
      <c r="H451" s="34"/>
    </row>
    <row r="452" spans="8:8" x14ac:dyDescent="0.25">
      <c r="H452" s="34"/>
    </row>
    <row r="453" spans="8:8" x14ac:dyDescent="0.25">
      <c r="H453" s="34"/>
    </row>
    <row r="454" spans="8:8" x14ac:dyDescent="0.25">
      <c r="H454" s="34"/>
    </row>
    <row r="455" spans="8:8" x14ac:dyDescent="0.25">
      <c r="H455" s="34"/>
    </row>
    <row r="456" spans="8:8" x14ac:dyDescent="0.25">
      <c r="H456" s="34"/>
    </row>
    <row r="457" spans="8:8" x14ac:dyDescent="0.25">
      <c r="H457" s="34"/>
    </row>
    <row r="458" spans="8:8" x14ac:dyDescent="0.25">
      <c r="H458" s="34"/>
    </row>
    <row r="459" spans="8:8" x14ac:dyDescent="0.25">
      <c r="H459" s="34"/>
    </row>
    <row r="460" spans="8:8" x14ac:dyDescent="0.25">
      <c r="H460" s="34"/>
    </row>
    <row r="461" spans="8:8" x14ac:dyDescent="0.25">
      <c r="H461" s="34"/>
    </row>
    <row r="462" spans="8:8" x14ac:dyDescent="0.25">
      <c r="H462" s="34"/>
    </row>
    <row r="463" spans="8:8" x14ac:dyDescent="0.25">
      <c r="H463" s="34"/>
    </row>
    <row r="464" spans="8:8" x14ac:dyDescent="0.25">
      <c r="H464" s="34"/>
    </row>
    <row r="465" spans="8:8" x14ac:dyDescent="0.25">
      <c r="H465" s="34"/>
    </row>
    <row r="466" spans="8:8" x14ac:dyDescent="0.25">
      <c r="H466" s="34"/>
    </row>
    <row r="467" spans="8:8" x14ac:dyDescent="0.25">
      <c r="H467" s="34"/>
    </row>
    <row r="468" spans="8:8" x14ac:dyDescent="0.25">
      <c r="H468" s="34"/>
    </row>
    <row r="469" spans="8:8" x14ac:dyDescent="0.25">
      <c r="H469" s="34"/>
    </row>
    <row r="470" spans="8:8" x14ac:dyDescent="0.25">
      <c r="H470" s="34"/>
    </row>
    <row r="471" spans="8:8" x14ac:dyDescent="0.25">
      <c r="H471" s="34"/>
    </row>
    <row r="472" spans="8:8" x14ac:dyDescent="0.25">
      <c r="H472" s="34"/>
    </row>
    <row r="473" spans="8:8" x14ac:dyDescent="0.25">
      <c r="H473" s="34"/>
    </row>
    <row r="474" spans="8:8" x14ac:dyDescent="0.25">
      <c r="H474" s="34"/>
    </row>
    <row r="475" spans="8:8" x14ac:dyDescent="0.25">
      <c r="H475" s="34"/>
    </row>
    <row r="476" spans="8:8" x14ac:dyDescent="0.25">
      <c r="H476" s="34"/>
    </row>
    <row r="477" spans="8:8" x14ac:dyDescent="0.25">
      <c r="H477" s="34"/>
    </row>
    <row r="478" spans="8:8" x14ac:dyDescent="0.25">
      <c r="H478" s="34"/>
    </row>
    <row r="479" spans="8:8" x14ac:dyDescent="0.25">
      <c r="H479" s="34"/>
    </row>
    <row r="480" spans="8:8" x14ac:dyDescent="0.25">
      <c r="H480" s="34"/>
    </row>
    <row r="481" spans="8:8" x14ac:dyDescent="0.25">
      <c r="H481" s="34"/>
    </row>
    <row r="482" spans="8:8" x14ac:dyDescent="0.25">
      <c r="H482" s="34"/>
    </row>
    <row r="483" spans="8:8" x14ac:dyDescent="0.25">
      <c r="H483" s="34"/>
    </row>
    <row r="484" spans="8:8" x14ac:dyDescent="0.25">
      <c r="H484" s="34"/>
    </row>
    <row r="485" spans="8:8" x14ac:dyDescent="0.25">
      <c r="H485" s="34"/>
    </row>
    <row r="486" spans="8:8" x14ac:dyDescent="0.25">
      <c r="H486" s="34"/>
    </row>
    <row r="487" spans="8:8" x14ac:dyDescent="0.25">
      <c r="H487" s="34"/>
    </row>
    <row r="488" spans="8:8" x14ac:dyDescent="0.25">
      <c r="H488" s="34"/>
    </row>
    <row r="489" spans="8:8" x14ac:dyDescent="0.25">
      <c r="H489" s="34"/>
    </row>
    <row r="490" spans="8:8" x14ac:dyDescent="0.25">
      <c r="H490" s="34"/>
    </row>
    <row r="491" spans="8:8" x14ac:dyDescent="0.25">
      <c r="H491" s="34"/>
    </row>
    <row r="492" spans="8:8" x14ac:dyDescent="0.25">
      <c r="H492" s="34"/>
    </row>
    <row r="493" spans="8:8" x14ac:dyDescent="0.25">
      <c r="H493" s="34"/>
    </row>
    <row r="494" spans="8:8" x14ac:dyDescent="0.25">
      <c r="H494" s="34"/>
    </row>
    <row r="495" spans="8:8" x14ac:dyDescent="0.25">
      <c r="H495" s="34"/>
    </row>
    <row r="496" spans="8:8" x14ac:dyDescent="0.25">
      <c r="H496" s="34"/>
    </row>
    <row r="497" spans="8:8" x14ac:dyDescent="0.25">
      <c r="H497" s="34"/>
    </row>
    <row r="498" spans="8:8" x14ac:dyDescent="0.25">
      <c r="H498" s="34"/>
    </row>
    <row r="499" spans="8:8" x14ac:dyDescent="0.25">
      <c r="H499" s="34"/>
    </row>
    <row r="500" spans="8:8" x14ac:dyDescent="0.25">
      <c r="H500" s="34"/>
    </row>
    <row r="501" spans="8:8" x14ac:dyDescent="0.25">
      <c r="H501" s="34"/>
    </row>
    <row r="502" spans="8:8" x14ac:dyDescent="0.25">
      <c r="H502" s="34"/>
    </row>
    <row r="503" spans="8:8" x14ac:dyDescent="0.25">
      <c r="H503" s="34"/>
    </row>
    <row r="504" spans="8:8" x14ac:dyDescent="0.25">
      <c r="H504" s="34"/>
    </row>
    <row r="505" spans="8:8" x14ac:dyDescent="0.25">
      <c r="H505" s="34"/>
    </row>
    <row r="506" spans="8:8" x14ac:dyDescent="0.25">
      <c r="H506" s="34"/>
    </row>
    <row r="507" spans="8:8" x14ac:dyDescent="0.25">
      <c r="H507" s="34"/>
    </row>
    <row r="508" spans="8:8" x14ac:dyDescent="0.25">
      <c r="H508" s="34"/>
    </row>
    <row r="509" spans="8:8" x14ac:dyDescent="0.25">
      <c r="H509" s="34"/>
    </row>
    <row r="510" spans="8:8" x14ac:dyDescent="0.25">
      <c r="H510" s="34"/>
    </row>
    <row r="511" spans="8:8" x14ac:dyDescent="0.25">
      <c r="H511" s="34"/>
    </row>
    <row r="512" spans="8:8" x14ac:dyDescent="0.25">
      <c r="H512" s="34"/>
    </row>
    <row r="513" spans="8:8" x14ac:dyDescent="0.25">
      <c r="H513" s="34"/>
    </row>
    <row r="514" spans="8:8" x14ac:dyDescent="0.25">
      <c r="H514" s="34"/>
    </row>
    <row r="515" spans="8:8" x14ac:dyDescent="0.25">
      <c r="H515" s="34"/>
    </row>
    <row r="516" spans="8:8" x14ac:dyDescent="0.25">
      <c r="H516" s="34"/>
    </row>
    <row r="517" spans="8:8" x14ac:dyDescent="0.25">
      <c r="H517" s="34"/>
    </row>
    <row r="518" spans="8:8" x14ac:dyDescent="0.25">
      <c r="H518" s="34"/>
    </row>
    <row r="519" spans="8:8" x14ac:dyDescent="0.25">
      <c r="H519" s="34"/>
    </row>
    <row r="520" spans="8:8" x14ac:dyDescent="0.25">
      <c r="H520" s="34"/>
    </row>
    <row r="521" spans="8:8" x14ac:dyDescent="0.25">
      <c r="H521" s="34"/>
    </row>
    <row r="522" spans="8:8" x14ac:dyDescent="0.25">
      <c r="H522" s="34"/>
    </row>
    <row r="523" spans="8:8" x14ac:dyDescent="0.25">
      <c r="H523" s="34"/>
    </row>
    <row r="524" spans="8:8" x14ac:dyDescent="0.25">
      <c r="H524" s="34"/>
    </row>
    <row r="525" spans="8:8" x14ac:dyDescent="0.25">
      <c r="H525" s="34"/>
    </row>
    <row r="526" spans="8:8" x14ac:dyDescent="0.25">
      <c r="H526" s="34"/>
    </row>
    <row r="527" spans="8:8" x14ac:dyDescent="0.25">
      <c r="H527" s="34"/>
    </row>
    <row r="528" spans="8:8" x14ac:dyDescent="0.25">
      <c r="H528" s="34"/>
    </row>
    <row r="529" spans="8:8" x14ac:dyDescent="0.25">
      <c r="H529" s="34"/>
    </row>
    <row r="530" spans="8:8" x14ac:dyDescent="0.25">
      <c r="H530" s="34"/>
    </row>
    <row r="531" spans="8:8" x14ac:dyDescent="0.25">
      <c r="H531" s="34"/>
    </row>
    <row r="532" spans="8:8" x14ac:dyDescent="0.25">
      <c r="H532" s="34"/>
    </row>
    <row r="533" spans="8:8" x14ac:dyDescent="0.25">
      <c r="H533" s="34"/>
    </row>
    <row r="534" spans="8:8" x14ac:dyDescent="0.25">
      <c r="H534" s="34"/>
    </row>
    <row r="535" spans="8:8" x14ac:dyDescent="0.25">
      <c r="H535" s="34"/>
    </row>
    <row r="536" spans="8:8" x14ac:dyDescent="0.25">
      <c r="H536" s="34"/>
    </row>
    <row r="537" spans="8:8" x14ac:dyDescent="0.25">
      <c r="H537" s="34"/>
    </row>
    <row r="538" spans="8:8" x14ac:dyDescent="0.25">
      <c r="H538" s="34"/>
    </row>
    <row r="539" spans="8:8" x14ac:dyDescent="0.25">
      <c r="H539" s="34"/>
    </row>
    <row r="540" spans="8:8" x14ac:dyDescent="0.25">
      <c r="H540" s="34"/>
    </row>
    <row r="541" spans="8:8" x14ac:dyDescent="0.25">
      <c r="H541" s="34"/>
    </row>
    <row r="542" spans="8:8" x14ac:dyDescent="0.25">
      <c r="H542" s="34"/>
    </row>
    <row r="543" spans="8:8" x14ac:dyDescent="0.25">
      <c r="H543" s="34"/>
    </row>
    <row r="544" spans="8:8" x14ac:dyDescent="0.25">
      <c r="H544" s="34"/>
    </row>
    <row r="545" spans="8:8" x14ac:dyDescent="0.25">
      <c r="H545" s="34"/>
    </row>
    <row r="546" spans="8:8" x14ac:dyDescent="0.25">
      <c r="H546" s="34"/>
    </row>
    <row r="547" spans="8:8" x14ac:dyDescent="0.25">
      <c r="H547" s="34"/>
    </row>
    <row r="548" spans="8:8" x14ac:dyDescent="0.25">
      <c r="H548" s="34"/>
    </row>
    <row r="549" spans="8:8" x14ac:dyDescent="0.25">
      <c r="H549" s="34"/>
    </row>
    <row r="550" spans="8:8" x14ac:dyDescent="0.25">
      <c r="H550" s="34"/>
    </row>
    <row r="551" spans="8:8" x14ac:dyDescent="0.25">
      <c r="H551" s="34"/>
    </row>
    <row r="552" spans="8:8" x14ac:dyDescent="0.25">
      <c r="H552" s="34"/>
    </row>
    <row r="553" spans="8:8" x14ac:dyDescent="0.25">
      <c r="H553" s="34"/>
    </row>
    <row r="554" spans="8:8" x14ac:dyDescent="0.25">
      <c r="H554" s="34"/>
    </row>
    <row r="555" spans="8:8" x14ac:dyDescent="0.25">
      <c r="H555" s="34"/>
    </row>
    <row r="556" spans="8:8" x14ac:dyDescent="0.25">
      <c r="H556" s="34"/>
    </row>
    <row r="557" spans="8:8" x14ac:dyDescent="0.25">
      <c r="H557" s="34"/>
    </row>
    <row r="558" spans="8:8" x14ac:dyDescent="0.25">
      <c r="H558" s="34"/>
    </row>
    <row r="559" spans="8:8" x14ac:dyDescent="0.25">
      <c r="H559" s="34"/>
    </row>
    <row r="560" spans="8:8" x14ac:dyDescent="0.25">
      <c r="H560" s="34"/>
    </row>
    <row r="561" spans="8:8" x14ac:dyDescent="0.25">
      <c r="H561" s="34"/>
    </row>
    <row r="562" spans="8:8" x14ac:dyDescent="0.25">
      <c r="H562" s="34"/>
    </row>
    <row r="563" spans="8:8" x14ac:dyDescent="0.25">
      <c r="H563" s="34"/>
    </row>
    <row r="564" spans="8:8" x14ac:dyDescent="0.25">
      <c r="H564" s="34"/>
    </row>
    <row r="565" spans="8:8" x14ac:dyDescent="0.25">
      <c r="H565" s="34"/>
    </row>
    <row r="566" spans="8:8" x14ac:dyDescent="0.25">
      <c r="H566" s="34"/>
    </row>
    <row r="567" spans="8:8" x14ac:dyDescent="0.25">
      <c r="H567" s="34"/>
    </row>
    <row r="568" spans="8:8" x14ac:dyDescent="0.25">
      <c r="H568" s="34"/>
    </row>
    <row r="569" spans="8:8" x14ac:dyDescent="0.25">
      <c r="H569" s="34"/>
    </row>
    <row r="570" spans="8:8" x14ac:dyDescent="0.25">
      <c r="H570" s="34"/>
    </row>
    <row r="571" spans="8:8" x14ac:dyDescent="0.25">
      <c r="H571" s="34"/>
    </row>
    <row r="572" spans="8:8" x14ac:dyDescent="0.25">
      <c r="H572" s="34"/>
    </row>
    <row r="573" spans="8:8" x14ac:dyDescent="0.25">
      <c r="H573" s="34"/>
    </row>
    <row r="574" spans="8:8" x14ac:dyDescent="0.25">
      <c r="H574" s="34"/>
    </row>
    <row r="575" spans="8:8" x14ac:dyDescent="0.25">
      <c r="H575" s="34"/>
    </row>
    <row r="576" spans="8:8" x14ac:dyDescent="0.25">
      <c r="H576" s="34"/>
    </row>
    <row r="577" spans="8:8" x14ac:dyDescent="0.25">
      <c r="H577" s="34"/>
    </row>
    <row r="578" spans="8:8" x14ac:dyDescent="0.25">
      <c r="H578" s="34"/>
    </row>
    <row r="579" spans="8:8" x14ac:dyDescent="0.25">
      <c r="H579" s="34"/>
    </row>
    <row r="580" spans="8:8" x14ac:dyDescent="0.25">
      <c r="H580" s="34"/>
    </row>
    <row r="581" spans="8:8" x14ac:dyDescent="0.25">
      <c r="H581" s="34"/>
    </row>
    <row r="582" spans="8:8" x14ac:dyDescent="0.25">
      <c r="H582" s="34"/>
    </row>
    <row r="583" spans="8:8" x14ac:dyDescent="0.25">
      <c r="H583" s="34"/>
    </row>
    <row r="584" spans="8:8" x14ac:dyDescent="0.25">
      <c r="H584" s="34"/>
    </row>
    <row r="585" spans="8:8" x14ac:dyDescent="0.25">
      <c r="H585" s="34"/>
    </row>
    <row r="586" spans="8:8" x14ac:dyDescent="0.25">
      <c r="H586" s="34"/>
    </row>
    <row r="587" spans="8:8" x14ac:dyDescent="0.25">
      <c r="H587" s="34"/>
    </row>
    <row r="588" spans="8:8" x14ac:dyDescent="0.25">
      <c r="H588" s="34"/>
    </row>
    <row r="589" spans="8:8" x14ac:dyDescent="0.25">
      <c r="H589" s="34"/>
    </row>
    <row r="590" spans="8:8" x14ac:dyDescent="0.25">
      <c r="H590" s="34"/>
    </row>
    <row r="591" spans="8:8" x14ac:dyDescent="0.25">
      <c r="H591" s="34"/>
    </row>
    <row r="592" spans="8:8" x14ac:dyDescent="0.25">
      <c r="H592" s="34"/>
    </row>
    <row r="593" spans="8:8" x14ac:dyDescent="0.25">
      <c r="H593" s="34"/>
    </row>
    <row r="594" spans="8:8" x14ac:dyDescent="0.25">
      <c r="H594" s="34"/>
    </row>
    <row r="595" spans="8:8" x14ac:dyDescent="0.25">
      <c r="H595" s="34"/>
    </row>
    <row r="596" spans="8:8" x14ac:dyDescent="0.25">
      <c r="H596" s="34"/>
    </row>
    <row r="597" spans="8:8" x14ac:dyDescent="0.25">
      <c r="H597" s="34"/>
    </row>
    <row r="598" spans="8:8" x14ac:dyDescent="0.25">
      <c r="H598" s="34"/>
    </row>
    <row r="599" spans="8:8" x14ac:dyDescent="0.25">
      <c r="H599" s="34"/>
    </row>
    <row r="600" spans="8:8" x14ac:dyDescent="0.25">
      <c r="H600" s="34"/>
    </row>
    <row r="601" spans="8:8" x14ac:dyDescent="0.25">
      <c r="H601" s="34"/>
    </row>
    <row r="602" spans="8:8" x14ac:dyDescent="0.25">
      <c r="H602" s="34"/>
    </row>
    <row r="603" spans="8:8" x14ac:dyDescent="0.25">
      <c r="H603" s="34"/>
    </row>
    <row r="604" spans="8:8" x14ac:dyDescent="0.25">
      <c r="H604" s="34"/>
    </row>
    <row r="605" spans="8:8" x14ac:dyDescent="0.25">
      <c r="H605" s="34"/>
    </row>
    <row r="606" spans="8:8" x14ac:dyDescent="0.25">
      <c r="H606" s="34"/>
    </row>
    <row r="607" spans="8:8" x14ac:dyDescent="0.25">
      <c r="H607" s="34"/>
    </row>
    <row r="608" spans="8:8" x14ac:dyDescent="0.25">
      <c r="H608" s="34"/>
    </row>
    <row r="609" spans="8:8" x14ac:dyDescent="0.25">
      <c r="H609" s="34"/>
    </row>
    <row r="610" spans="8:8" x14ac:dyDescent="0.25">
      <c r="H610" s="34"/>
    </row>
    <row r="611" spans="8:8" x14ac:dyDescent="0.25">
      <c r="H611" s="34"/>
    </row>
    <row r="612" spans="8:8" x14ac:dyDescent="0.25">
      <c r="H612" s="34"/>
    </row>
    <row r="613" spans="8:8" x14ac:dyDescent="0.25">
      <c r="H613" s="34"/>
    </row>
    <row r="614" spans="8:8" x14ac:dyDescent="0.25">
      <c r="H614" s="34"/>
    </row>
    <row r="615" spans="8:8" x14ac:dyDescent="0.25">
      <c r="H615" s="34"/>
    </row>
    <row r="616" spans="8:8" x14ac:dyDescent="0.25">
      <c r="H616" s="34"/>
    </row>
    <row r="617" spans="8:8" x14ac:dyDescent="0.25">
      <c r="H617" s="34"/>
    </row>
    <row r="618" spans="8:8" x14ac:dyDescent="0.25">
      <c r="H618" s="34"/>
    </row>
    <row r="619" spans="8:8" x14ac:dyDescent="0.25">
      <c r="H619" s="34"/>
    </row>
    <row r="620" spans="8:8" x14ac:dyDescent="0.25">
      <c r="H620" s="34"/>
    </row>
    <row r="621" spans="8:8" x14ac:dyDescent="0.25">
      <c r="H621" s="34"/>
    </row>
    <row r="622" spans="8:8" x14ac:dyDescent="0.25">
      <c r="H622" s="34"/>
    </row>
    <row r="623" spans="8:8" x14ac:dyDescent="0.25">
      <c r="H623" s="34"/>
    </row>
    <row r="624" spans="8:8" x14ac:dyDescent="0.25">
      <c r="H624" s="34"/>
    </row>
    <row r="625" spans="8:8" x14ac:dyDescent="0.25">
      <c r="H625" s="34"/>
    </row>
    <row r="626" spans="8:8" x14ac:dyDescent="0.25">
      <c r="H626" s="34"/>
    </row>
    <row r="627" spans="8:8" x14ac:dyDescent="0.25">
      <c r="H627" s="34"/>
    </row>
    <row r="628" spans="8:8" x14ac:dyDescent="0.25">
      <c r="H628" s="34"/>
    </row>
    <row r="629" spans="8:8" x14ac:dyDescent="0.25">
      <c r="H629" s="34"/>
    </row>
    <row r="630" spans="8:8" x14ac:dyDescent="0.25">
      <c r="H630" s="34"/>
    </row>
    <row r="631" spans="8:8" x14ac:dyDescent="0.25">
      <c r="H631" s="34"/>
    </row>
    <row r="632" spans="8:8" x14ac:dyDescent="0.25">
      <c r="H632" s="34"/>
    </row>
    <row r="633" spans="8:8" x14ac:dyDescent="0.25">
      <c r="H633" s="34"/>
    </row>
    <row r="634" spans="8:8" x14ac:dyDescent="0.25">
      <c r="H634" s="34"/>
    </row>
    <row r="635" spans="8:8" x14ac:dyDescent="0.25">
      <c r="H635" s="34"/>
    </row>
    <row r="636" spans="8:8" x14ac:dyDescent="0.25">
      <c r="H636" s="34"/>
    </row>
    <row r="637" spans="8:8" x14ac:dyDescent="0.25">
      <c r="H637" s="34"/>
    </row>
    <row r="638" spans="8:8" x14ac:dyDescent="0.25">
      <c r="H638" s="34"/>
    </row>
    <row r="639" spans="8:8" x14ac:dyDescent="0.25">
      <c r="H639" s="34"/>
    </row>
    <row r="640" spans="8:8" x14ac:dyDescent="0.25">
      <c r="H640" s="34"/>
    </row>
    <row r="641" spans="8:8" x14ac:dyDescent="0.25">
      <c r="H641" s="34"/>
    </row>
    <row r="642" spans="8:8" x14ac:dyDescent="0.25">
      <c r="H642" s="34"/>
    </row>
    <row r="643" spans="8:8" x14ac:dyDescent="0.25">
      <c r="H643" s="34"/>
    </row>
    <row r="644" spans="8:8" x14ac:dyDescent="0.25">
      <c r="H644" s="34"/>
    </row>
    <row r="645" spans="8:8" x14ac:dyDescent="0.25">
      <c r="H645" s="34"/>
    </row>
    <row r="646" spans="8:8" x14ac:dyDescent="0.25">
      <c r="H646" s="34"/>
    </row>
    <row r="647" spans="8:8" x14ac:dyDescent="0.25">
      <c r="H647" s="34"/>
    </row>
    <row r="648" spans="8:8" x14ac:dyDescent="0.25">
      <c r="H648" s="34"/>
    </row>
    <row r="649" spans="8:8" x14ac:dyDescent="0.25">
      <c r="H649" s="34"/>
    </row>
    <row r="650" spans="8:8" x14ac:dyDescent="0.25">
      <c r="H650" s="34"/>
    </row>
    <row r="651" spans="8:8" x14ac:dyDescent="0.25">
      <c r="H651" s="34"/>
    </row>
    <row r="652" spans="8:8" x14ac:dyDescent="0.25">
      <c r="H652" s="34"/>
    </row>
    <row r="653" spans="8:8" x14ac:dyDescent="0.25">
      <c r="H653" s="34"/>
    </row>
    <row r="654" spans="8:8" x14ac:dyDescent="0.25">
      <c r="H654" s="34"/>
    </row>
    <row r="655" spans="8:8" x14ac:dyDescent="0.25">
      <c r="H655" s="34"/>
    </row>
    <row r="656" spans="8:8" x14ac:dyDescent="0.25">
      <c r="H656" s="34"/>
    </row>
    <row r="657" spans="8:8" x14ac:dyDescent="0.25">
      <c r="H657" s="34"/>
    </row>
    <row r="658" spans="8:8" x14ac:dyDescent="0.25">
      <c r="H658" s="34"/>
    </row>
    <row r="659" spans="8:8" x14ac:dyDescent="0.25">
      <c r="H659" s="34"/>
    </row>
    <row r="660" spans="8:8" x14ac:dyDescent="0.25">
      <c r="H660" s="34"/>
    </row>
    <row r="661" spans="8:8" x14ac:dyDescent="0.25">
      <c r="H661" s="34"/>
    </row>
    <row r="662" spans="8:8" x14ac:dyDescent="0.25">
      <c r="H662" s="34"/>
    </row>
    <row r="663" spans="8:8" x14ac:dyDescent="0.25">
      <c r="H663" s="34"/>
    </row>
    <row r="664" spans="8:8" x14ac:dyDescent="0.25">
      <c r="H664" s="34"/>
    </row>
    <row r="665" spans="8:8" x14ac:dyDescent="0.25">
      <c r="H665" s="34"/>
    </row>
    <row r="666" spans="8:8" x14ac:dyDescent="0.25">
      <c r="H666" s="34"/>
    </row>
    <row r="667" spans="8:8" x14ac:dyDescent="0.25">
      <c r="H667" s="34"/>
    </row>
    <row r="668" spans="8:8" x14ac:dyDescent="0.25">
      <c r="H668" s="34"/>
    </row>
    <row r="669" spans="8:8" x14ac:dyDescent="0.25">
      <c r="H669" s="34"/>
    </row>
    <row r="670" spans="8:8" x14ac:dyDescent="0.25">
      <c r="H670" s="34"/>
    </row>
    <row r="671" spans="8:8" x14ac:dyDescent="0.25">
      <c r="H671" s="34"/>
    </row>
    <row r="672" spans="8:8" x14ac:dyDescent="0.25">
      <c r="H672" s="34"/>
    </row>
    <row r="673" spans="8:8" x14ac:dyDescent="0.25">
      <c r="H673" s="34"/>
    </row>
    <row r="674" spans="8:8" x14ac:dyDescent="0.25">
      <c r="H674" s="34"/>
    </row>
    <row r="675" spans="8:8" x14ac:dyDescent="0.25">
      <c r="H675" s="34"/>
    </row>
    <row r="676" spans="8:8" x14ac:dyDescent="0.25">
      <c r="H676" s="34"/>
    </row>
    <row r="677" spans="8:8" x14ac:dyDescent="0.25">
      <c r="H677" s="34"/>
    </row>
    <row r="678" spans="8:8" x14ac:dyDescent="0.25">
      <c r="H678" s="34"/>
    </row>
    <row r="679" spans="8:8" x14ac:dyDescent="0.25">
      <c r="H679" s="34"/>
    </row>
    <row r="680" spans="8:8" x14ac:dyDescent="0.25">
      <c r="H680" s="34"/>
    </row>
    <row r="681" spans="8:8" x14ac:dyDescent="0.25">
      <c r="H681" s="34"/>
    </row>
    <row r="682" spans="8:8" x14ac:dyDescent="0.25">
      <c r="H682" s="34"/>
    </row>
    <row r="683" spans="8:8" x14ac:dyDescent="0.25">
      <c r="H683" s="34"/>
    </row>
    <row r="684" spans="8:8" x14ac:dyDescent="0.25">
      <c r="H684" s="34"/>
    </row>
    <row r="685" spans="8:8" x14ac:dyDescent="0.25">
      <c r="H685" s="34"/>
    </row>
    <row r="686" spans="8:8" x14ac:dyDescent="0.25">
      <c r="H686" s="34"/>
    </row>
    <row r="687" spans="8:8" x14ac:dyDescent="0.25">
      <c r="H687" s="34"/>
    </row>
    <row r="688" spans="8:8" x14ac:dyDescent="0.25">
      <c r="H688" s="34"/>
    </row>
    <row r="689" spans="8:8" x14ac:dyDescent="0.25">
      <c r="H689" s="34"/>
    </row>
    <row r="690" spans="8:8" x14ac:dyDescent="0.25">
      <c r="H690" s="34"/>
    </row>
    <row r="691" spans="8:8" x14ac:dyDescent="0.25">
      <c r="H691" s="34"/>
    </row>
    <row r="692" spans="8:8" x14ac:dyDescent="0.25">
      <c r="H692" s="34"/>
    </row>
    <row r="693" spans="8:8" x14ac:dyDescent="0.25">
      <c r="H693" s="34"/>
    </row>
    <row r="694" spans="8:8" x14ac:dyDescent="0.25">
      <c r="H694" s="34"/>
    </row>
    <row r="695" spans="8:8" x14ac:dyDescent="0.25">
      <c r="H695" s="34"/>
    </row>
    <row r="696" spans="8:8" x14ac:dyDescent="0.25">
      <c r="H696" s="34"/>
    </row>
    <row r="697" spans="8:8" x14ac:dyDescent="0.25">
      <c r="H697" s="34"/>
    </row>
    <row r="698" spans="8:8" x14ac:dyDescent="0.25">
      <c r="H698" s="34"/>
    </row>
    <row r="699" spans="8:8" x14ac:dyDescent="0.25">
      <c r="H699" s="34"/>
    </row>
    <row r="700" spans="8:8" x14ac:dyDescent="0.25">
      <c r="H700" s="34"/>
    </row>
    <row r="701" spans="8:8" x14ac:dyDescent="0.25">
      <c r="H701" s="34"/>
    </row>
    <row r="702" spans="8:8" x14ac:dyDescent="0.25">
      <c r="H702" s="34"/>
    </row>
    <row r="703" spans="8:8" x14ac:dyDescent="0.25">
      <c r="H703" s="34"/>
    </row>
    <row r="704" spans="8:8" x14ac:dyDescent="0.25">
      <c r="H704" s="34"/>
    </row>
    <row r="705" spans="8:8" x14ac:dyDescent="0.25">
      <c r="H705" s="34"/>
    </row>
    <row r="706" spans="8:8" x14ac:dyDescent="0.25">
      <c r="H706" s="34"/>
    </row>
    <row r="707" spans="8:8" x14ac:dyDescent="0.25">
      <c r="H707" s="34"/>
    </row>
    <row r="708" spans="8:8" x14ac:dyDescent="0.25">
      <c r="H708" s="34"/>
    </row>
    <row r="709" spans="8:8" x14ac:dyDescent="0.25">
      <c r="H709" s="34"/>
    </row>
    <row r="710" spans="8:8" x14ac:dyDescent="0.25">
      <c r="H710" s="34"/>
    </row>
    <row r="711" spans="8:8" x14ac:dyDescent="0.25">
      <c r="H711" s="34"/>
    </row>
    <row r="712" spans="8:8" x14ac:dyDescent="0.25">
      <c r="H712" s="34"/>
    </row>
    <row r="713" spans="8:8" x14ac:dyDescent="0.25">
      <c r="H713" s="34"/>
    </row>
    <row r="714" spans="8:8" x14ac:dyDescent="0.25">
      <c r="H714" s="34"/>
    </row>
    <row r="715" spans="8:8" x14ac:dyDescent="0.25">
      <c r="H715" s="34"/>
    </row>
    <row r="716" spans="8:8" x14ac:dyDescent="0.25">
      <c r="H716" s="34"/>
    </row>
    <row r="717" spans="8:8" x14ac:dyDescent="0.25">
      <c r="H717" s="34"/>
    </row>
    <row r="718" spans="8:8" x14ac:dyDescent="0.25">
      <c r="H718" s="34"/>
    </row>
    <row r="719" spans="8:8" x14ac:dyDescent="0.25">
      <c r="H719" s="34"/>
    </row>
    <row r="720" spans="8:8" x14ac:dyDescent="0.25">
      <c r="H720" s="34"/>
    </row>
    <row r="721" spans="8:8" x14ac:dyDescent="0.25">
      <c r="H721" s="34"/>
    </row>
    <row r="722" spans="8:8" x14ac:dyDescent="0.25">
      <c r="H722" s="34"/>
    </row>
    <row r="723" spans="8:8" x14ac:dyDescent="0.25">
      <c r="H723" s="34"/>
    </row>
    <row r="724" spans="8:8" x14ac:dyDescent="0.25">
      <c r="H724" s="34"/>
    </row>
    <row r="725" spans="8:8" x14ac:dyDescent="0.25">
      <c r="H725" s="34"/>
    </row>
    <row r="726" spans="8:8" x14ac:dyDescent="0.25">
      <c r="H726" s="34"/>
    </row>
    <row r="727" spans="8:8" x14ac:dyDescent="0.25">
      <c r="H727" s="34"/>
    </row>
    <row r="728" spans="8:8" x14ac:dyDescent="0.25">
      <c r="H728" s="34"/>
    </row>
    <row r="729" spans="8:8" x14ac:dyDescent="0.25">
      <c r="H729" s="34"/>
    </row>
    <row r="730" spans="8:8" x14ac:dyDescent="0.25">
      <c r="H730" s="34"/>
    </row>
    <row r="731" spans="8:8" x14ac:dyDescent="0.25">
      <c r="H731" s="34"/>
    </row>
    <row r="732" spans="8:8" x14ac:dyDescent="0.25">
      <c r="H732" s="34"/>
    </row>
    <row r="733" spans="8:8" x14ac:dyDescent="0.25">
      <c r="H733" s="34"/>
    </row>
    <row r="734" spans="8:8" x14ac:dyDescent="0.25">
      <c r="H734" s="34"/>
    </row>
    <row r="735" spans="8:8" x14ac:dyDescent="0.25">
      <c r="H735" s="34"/>
    </row>
    <row r="736" spans="8:8" x14ac:dyDescent="0.25">
      <c r="H736" s="34"/>
    </row>
    <row r="737" spans="8:8" x14ac:dyDescent="0.25">
      <c r="H737" s="34"/>
    </row>
    <row r="738" spans="8:8" x14ac:dyDescent="0.25">
      <c r="H738" s="34"/>
    </row>
    <row r="739" spans="8:8" x14ac:dyDescent="0.25">
      <c r="H739" s="34"/>
    </row>
    <row r="740" spans="8:8" x14ac:dyDescent="0.25">
      <c r="H740" s="34"/>
    </row>
    <row r="741" spans="8:8" x14ac:dyDescent="0.25">
      <c r="H741" s="34"/>
    </row>
    <row r="742" spans="8:8" x14ac:dyDescent="0.25">
      <c r="H742" s="34"/>
    </row>
    <row r="743" spans="8:8" x14ac:dyDescent="0.25">
      <c r="H743" s="34"/>
    </row>
    <row r="744" spans="8:8" x14ac:dyDescent="0.25">
      <c r="H744" s="34"/>
    </row>
    <row r="745" spans="8:8" x14ac:dyDescent="0.25">
      <c r="H745" s="34"/>
    </row>
    <row r="746" spans="8:8" x14ac:dyDescent="0.25">
      <c r="H746" s="34"/>
    </row>
    <row r="747" spans="8:8" x14ac:dyDescent="0.25">
      <c r="H747" s="34"/>
    </row>
    <row r="748" spans="8:8" x14ac:dyDescent="0.25">
      <c r="H748" s="34"/>
    </row>
    <row r="749" spans="8:8" x14ac:dyDescent="0.25">
      <c r="H749" s="34"/>
    </row>
    <row r="750" spans="8:8" x14ac:dyDescent="0.25">
      <c r="H750" s="34"/>
    </row>
    <row r="751" spans="8:8" x14ac:dyDescent="0.25">
      <c r="H751" s="34"/>
    </row>
    <row r="752" spans="8:8" x14ac:dyDescent="0.25">
      <c r="H752" s="34"/>
    </row>
    <row r="753" spans="8:8" x14ac:dyDescent="0.25">
      <c r="H753" s="34"/>
    </row>
    <row r="754" spans="8:8" x14ac:dyDescent="0.25">
      <c r="H754" s="34"/>
    </row>
    <row r="755" spans="8:8" x14ac:dyDescent="0.25">
      <c r="H755" s="34"/>
    </row>
    <row r="756" spans="8:8" x14ac:dyDescent="0.25">
      <c r="H756" s="34"/>
    </row>
    <row r="757" spans="8:8" x14ac:dyDescent="0.25">
      <c r="H757" s="34"/>
    </row>
    <row r="758" spans="8:8" x14ac:dyDescent="0.25">
      <c r="H758" s="34"/>
    </row>
    <row r="759" spans="8:8" x14ac:dyDescent="0.25">
      <c r="H759" s="34"/>
    </row>
    <row r="760" spans="8:8" x14ac:dyDescent="0.25">
      <c r="H760" s="34"/>
    </row>
    <row r="761" spans="8:8" x14ac:dyDescent="0.25">
      <c r="H761" s="34"/>
    </row>
    <row r="762" spans="8:8" x14ac:dyDescent="0.25">
      <c r="H762" s="34"/>
    </row>
    <row r="763" spans="8:8" x14ac:dyDescent="0.25">
      <c r="H763" s="34"/>
    </row>
    <row r="764" spans="8:8" x14ac:dyDescent="0.25">
      <c r="H764" s="34"/>
    </row>
    <row r="765" spans="8:8" x14ac:dyDescent="0.25">
      <c r="H765" s="34"/>
    </row>
    <row r="766" spans="8:8" x14ac:dyDescent="0.25">
      <c r="H766" s="34"/>
    </row>
    <row r="767" spans="8:8" x14ac:dyDescent="0.25">
      <c r="H767" s="34"/>
    </row>
    <row r="768" spans="8:8" x14ac:dyDescent="0.25">
      <c r="H768" s="34"/>
    </row>
    <row r="769" spans="8:8" x14ac:dyDescent="0.25">
      <c r="H769" s="34"/>
    </row>
    <row r="770" spans="8:8" x14ac:dyDescent="0.25">
      <c r="H770" s="34"/>
    </row>
    <row r="771" spans="8:8" x14ac:dyDescent="0.25">
      <c r="H771" s="34"/>
    </row>
    <row r="772" spans="8:8" x14ac:dyDescent="0.25">
      <c r="H772" s="34"/>
    </row>
    <row r="773" spans="8:8" x14ac:dyDescent="0.25">
      <c r="H773" s="34"/>
    </row>
    <row r="774" spans="8:8" x14ac:dyDescent="0.25">
      <c r="H774" s="34"/>
    </row>
    <row r="775" spans="8:8" x14ac:dyDescent="0.25">
      <c r="H775" s="34"/>
    </row>
    <row r="776" spans="8:8" x14ac:dyDescent="0.25">
      <c r="H776" s="34"/>
    </row>
    <row r="777" spans="8:8" x14ac:dyDescent="0.25">
      <c r="H777" s="34"/>
    </row>
    <row r="778" spans="8:8" x14ac:dyDescent="0.25">
      <c r="H778" s="34"/>
    </row>
    <row r="779" spans="8:8" x14ac:dyDescent="0.25">
      <c r="H779" s="34"/>
    </row>
    <row r="780" spans="8:8" x14ac:dyDescent="0.25">
      <c r="H780" s="34"/>
    </row>
    <row r="781" spans="8:8" x14ac:dyDescent="0.25">
      <c r="H781" s="34"/>
    </row>
    <row r="782" spans="8:8" x14ac:dyDescent="0.25">
      <c r="H782" s="34"/>
    </row>
    <row r="783" spans="8:8" x14ac:dyDescent="0.25">
      <c r="H783" s="34"/>
    </row>
    <row r="784" spans="8:8" x14ac:dyDescent="0.25">
      <c r="H784" s="34"/>
    </row>
    <row r="785" spans="8:8" x14ac:dyDescent="0.25">
      <c r="H785" s="34"/>
    </row>
    <row r="786" spans="8:8" x14ac:dyDescent="0.25">
      <c r="H786" s="34"/>
    </row>
    <row r="787" spans="8:8" x14ac:dyDescent="0.25">
      <c r="H787" s="34"/>
    </row>
    <row r="788" spans="8:8" x14ac:dyDescent="0.25">
      <c r="H788" s="34"/>
    </row>
    <row r="789" spans="8:8" x14ac:dyDescent="0.25">
      <c r="H789" s="34"/>
    </row>
    <row r="790" spans="8:8" x14ac:dyDescent="0.25">
      <c r="H790" s="34"/>
    </row>
    <row r="791" spans="8:8" x14ac:dyDescent="0.25">
      <c r="H791" s="34"/>
    </row>
    <row r="792" spans="8:8" x14ac:dyDescent="0.25">
      <c r="H792" s="34"/>
    </row>
    <row r="793" spans="8:8" x14ac:dyDescent="0.25">
      <c r="H793" s="34"/>
    </row>
    <row r="794" spans="8:8" x14ac:dyDescent="0.25">
      <c r="H794" s="34"/>
    </row>
    <row r="795" spans="8:8" x14ac:dyDescent="0.25">
      <c r="H795" s="34"/>
    </row>
    <row r="796" spans="8:8" x14ac:dyDescent="0.25">
      <c r="H796" s="34"/>
    </row>
    <row r="797" spans="8:8" x14ac:dyDescent="0.25">
      <c r="H797" s="34"/>
    </row>
    <row r="798" spans="8:8" x14ac:dyDescent="0.25">
      <c r="H798" s="34"/>
    </row>
    <row r="799" spans="8:8" x14ac:dyDescent="0.25">
      <c r="H799" s="34"/>
    </row>
    <row r="800" spans="8:8" x14ac:dyDescent="0.25">
      <c r="H800" s="34"/>
    </row>
    <row r="801" spans="8:8" x14ac:dyDescent="0.25">
      <c r="H801" s="34"/>
    </row>
    <row r="802" spans="8:8" x14ac:dyDescent="0.25">
      <c r="H802" s="34"/>
    </row>
    <row r="803" spans="8:8" x14ac:dyDescent="0.25">
      <c r="H803" s="34"/>
    </row>
    <row r="804" spans="8:8" x14ac:dyDescent="0.25">
      <c r="H804" s="34"/>
    </row>
    <row r="805" spans="8:8" x14ac:dyDescent="0.25">
      <c r="H805" s="34"/>
    </row>
    <row r="806" spans="8:8" x14ac:dyDescent="0.25">
      <c r="H806" s="34"/>
    </row>
    <row r="807" spans="8:8" x14ac:dyDescent="0.25">
      <c r="H807" s="34"/>
    </row>
    <row r="808" spans="8:8" x14ac:dyDescent="0.25">
      <c r="H808" s="34"/>
    </row>
    <row r="809" spans="8:8" x14ac:dyDescent="0.25">
      <c r="H809" s="34"/>
    </row>
    <row r="810" spans="8:8" x14ac:dyDescent="0.25">
      <c r="H810" s="34"/>
    </row>
    <row r="811" spans="8:8" x14ac:dyDescent="0.25">
      <c r="H811" s="34"/>
    </row>
    <row r="812" spans="8:8" x14ac:dyDescent="0.25">
      <c r="H812" s="34"/>
    </row>
    <row r="813" spans="8:8" x14ac:dyDescent="0.25">
      <c r="H813" s="34"/>
    </row>
    <row r="814" spans="8:8" x14ac:dyDescent="0.25">
      <c r="H814" s="34"/>
    </row>
    <row r="815" spans="8:8" x14ac:dyDescent="0.25">
      <c r="H815" s="34"/>
    </row>
    <row r="816" spans="8:8" x14ac:dyDescent="0.25">
      <c r="H816" s="34"/>
    </row>
    <row r="817" spans="8:8" x14ac:dyDescent="0.25">
      <c r="H817" s="34"/>
    </row>
    <row r="818" spans="8:8" x14ac:dyDescent="0.25">
      <c r="H818" s="34"/>
    </row>
    <row r="819" spans="8:8" x14ac:dyDescent="0.25">
      <c r="H819" s="34"/>
    </row>
    <row r="820" spans="8:8" x14ac:dyDescent="0.25">
      <c r="H820" s="34"/>
    </row>
    <row r="821" spans="8:8" x14ac:dyDescent="0.25">
      <c r="H821" s="34"/>
    </row>
    <row r="822" spans="8:8" x14ac:dyDescent="0.25">
      <c r="H822" s="34"/>
    </row>
    <row r="823" spans="8:8" x14ac:dyDescent="0.25">
      <c r="H823" s="34"/>
    </row>
    <row r="824" spans="8:8" x14ac:dyDescent="0.25">
      <c r="H824" s="34"/>
    </row>
    <row r="825" spans="8:8" x14ac:dyDescent="0.25">
      <c r="H825" s="34"/>
    </row>
    <row r="826" spans="8:8" x14ac:dyDescent="0.25">
      <c r="H826" s="34"/>
    </row>
    <row r="827" spans="8:8" x14ac:dyDescent="0.25">
      <c r="H827" s="34"/>
    </row>
    <row r="828" spans="8:8" x14ac:dyDescent="0.25">
      <c r="H828" s="34"/>
    </row>
    <row r="829" spans="8:8" x14ac:dyDescent="0.25">
      <c r="H829" s="34"/>
    </row>
    <row r="830" spans="8:8" x14ac:dyDescent="0.25">
      <c r="H830" s="34"/>
    </row>
    <row r="831" spans="8:8" x14ac:dyDescent="0.25">
      <c r="H831" s="34"/>
    </row>
    <row r="832" spans="8:8" x14ac:dyDescent="0.25">
      <c r="H832" s="34"/>
    </row>
    <row r="833" spans="8:8" x14ac:dyDescent="0.25">
      <c r="H833" s="34"/>
    </row>
    <row r="834" spans="8:8" x14ac:dyDescent="0.25">
      <c r="H834" s="34"/>
    </row>
    <row r="835" spans="8:8" x14ac:dyDescent="0.25">
      <c r="H835" s="34"/>
    </row>
    <row r="836" spans="8:8" x14ac:dyDescent="0.25">
      <c r="H836" s="34"/>
    </row>
    <row r="837" spans="8:8" x14ac:dyDescent="0.25">
      <c r="H837" s="34"/>
    </row>
    <row r="838" spans="8:8" x14ac:dyDescent="0.25">
      <c r="H838" s="34"/>
    </row>
    <row r="839" spans="8:8" x14ac:dyDescent="0.25">
      <c r="H839" s="34"/>
    </row>
    <row r="840" spans="8:8" x14ac:dyDescent="0.25">
      <c r="H840" s="34"/>
    </row>
    <row r="841" spans="8:8" x14ac:dyDescent="0.25">
      <c r="H841" s="34"/>
    </row>
    <row r="842" spans="8:8" x14ac:dyDescent="0.25">
      <c r="H842" s="34"/>
    </row>
    <row r="843" spans="8:8" x14ac:dyDescent="0.25">
      <c r="H843" s="34"/>
    </row>
    <row r="844" spans="8:8" x14ac:dyDescent="0.25">
      <c r="H844" s="34"/>
    </row>
    <row r="845" spans="8:8" x14ac:dyDescent="0.25">
      <c r="H845" s="34"/>
    </row>
    <row r="846" spans="8:8" x14ac:dyDescent="0.25">
      <c r="H846" s="34"/>
    </row>
    <row r="847" spans="8:8" x14ac:dyDescent="0.25">
      <c r="H847" s="34"/>
    </row>
    <row r="848" spans="8:8" x14ac:dyDescent="0.25">
      <c r="H848" s="34"/>
    </row>
    <row r="849" spans="8:8" x14ac:dyDescent="0.25">
      <c r="H849" s="34"/>
    </row>
    <row r="850" spans="8:8" x14ac:dyDescent="0.25">
      <c r="H850" s="34"/>
    </row>
    <row r="851" spans="8:8" x14ac:dyDescent="0.25">
      <c r="H851" s="34"/>
    </row>
    <row r="852" spans="8:8" x14ac:dyDescent="0.25">
      <c r="H852" s="34"/>
    </row>
    <row r="853" spans="8:8" x14ac:dyDescent="0.25">
      <c r="H853" s="34"/>
    </row>
    <row r="854" spans="8:8" x14ac:dyDescent="0.25">
      <c r="H854" s="34"/>
    </row>
    <row r="855" spans="8:8" x14ac:dyDescent="0.25">
      <c r="H855" s="34"/>
    </row>
    <row r="856" spans="8:8" x14ac:dyDescent="0.25">
      <c r="H856" s="34"/>
    </row>
    <row r="857" spans="8:8" x14ac:dyDescent="0.25">
      <c r="H857" s="34"/>
    </row>
    <row r="858" spans="8:8" x14ac:dyDescent="0.25">
      <c r="H858" s="34"/>
    </row>
    <row r="859" spans="8:8" x14ac:dyDescent="0.25">
      <c r="H859" s="34"/>
    </row>
    <row r="860" spans="8:8" x14ac:dyDescent="0.25">
      <c r="H860" s="34"/>
    </row>
    <row r="861" spans="8:8" x14ac:dyDescent="0.25">
      <c r="H861" s="34"/>
    </row>
    <row r="862" spans="8:8" x14ac:dyDescent="0.25">
      <c r="H862" s="34"/>
    </row>
    <row r="863" spans="8:8" x14ac:dyDescent="0.25">
      <c r="H863" s="34"/>
    </row>
    <row r="864" spans="8:8" x14ac:dyDescent="0.25">
      <c r="H864" s="34"/>
    </row>
    <row r="865" spans="8:8" x14ac:dyDescent="0.25">
      <c r="H865" s="34"/>
    </row>
    <row r="866" spans="8:8" x14ac:dyDescent="0.25">
      <c r="H866" s="34"/>
    </row>
    <row r="867" spans="8:8" x14ac:dyDescent="0.25">
      <c r="H867" s="34"/>
    </row>
    <row r="868" spans="8:8" x14ac:dyDescent="0.25">
      <c r="H868" s="34"/>
    </row>
    <row r="869" spans="8:8" x14ac:dyDescent="0.25">
      <c r="H869" s="34"/>
    </row>
    <row r="870" spans="8:8" x14ac:dyDescent="0.25">
      <c r="H870" s="34"/>
    </row>
    <row r="871" spans="8:8" x14ac:dyDescent="0.25">
      <c r="H871" s="34"/>
    </row>
    <row r="872" spans="8:8" x14ac:dyDescent="0.25">
      <c r="H872" s="34"/>
    </row>
    <row r="873" spans="8:8" x14ac:dyDescent="0.25">
      <c r="H873" s="34"/>
    </row>
    <row r="874" spans="8:8" x14ac:dyDescent="0.25">
      <c r="H874" s="34"/>
    </row>
    <row r="875" spans="8:8" x14ac:dyDescent="0.25">
      <c r="H875" s="34"/>
    </row>
    <row r="876" spans="8:8" x14ac:dyDescent="0.25">
      <c r="H876" s="34"/>
    </row>
    <row r="877" spans="8:8" x14ac:dyDescent="0.25">
      <c r="H877" s="34"/>
    </row>
    <row r="878" spans="8:8" x14ac:dyDescent="0.25">
      <c r="H878" s="34"/>
    </row>
    <row r="879" spans="8:8" x14ac:dyDescent="0.25">
      <c r="H879" s="34"/>
    </row>
    <row r="880" spans="8:8" x14ac:dyDescent="0.25">
      <c r="H880" s="34"/>
    </row>
    <row r="881" spans="8:8" x14ac:dyDescent="0.25">
      <c r="H881" s="34"/>
    </row>
    <row r="882" spans="8:8" x14ac:dyDescent="0.25">
      <c r="H882" s="34"/>
    </row>
    <row r="883" spans="8:8" x14ac:dyDescent="0.25">
      <c r="H883" s="34"/>
    </row>
    <row r="884" spans="8:8" x14ac:dyDescent="0.25">
      <c r="H884" s="34"/>
    </row>
    <row r="885" spans="8:8" x14ac:dyDescent="0.25">
      <c r="H885" s="34"/>
    </row>
    <row r="886" spans="8:8" x14ac:dyDescent="0.25">
      <c r="H886" s="34"/>
    </row>
    <row r="887" spans="8:8" x14ac:dyDescent="0.25">
      <c r="H887" s="34"/>
    </row>
    <row r="888" spans="8:8" x14ac:dyDescent="0.25">
      <c r="H888" s="34"/>
    </row>
    <row r="889" spans="8:8" x14ac:dyDescent="0.25">
      <c r="H889" s="34"/>
    </row>
    <row r="890" spans="8:8" x14ac:dyDescent="0.25">
      <c r="H890" s="34"/>
    </row>
    <row r="891" spans="8:8" x14ac:dyDescent="0.25">
      <c r="H891" s="34"/>
    </row>
    <row r="892" spans="8:8" x14ac:dyDescent="0.25">
      <c r="H892" s="34"/>
    </row>
    <row r="893" spans="8:8" x14ac:dyDescent="0.25">
      <c r="H893" s="34"/>
    </row>
    <row r="894" spans="8:8" x14ac:dyDescent="0.25">
      <c r="H894" s="34"/>
    </row>
    <row r="895" spans="8:8" x14ac:dyDescent="0.25">
      <c r="H895" s="34"/>
    </row>
    <row r="896" spans="8:8" x14ac:dyDescent="0.25">
      <c r="H896" s="34"/>
    </row>
    <row r="897" spans="8:8" x14ac:dyDescent="0.25">
      <c r="H897" s="34"/>
    </row>
    <row r="898" spans="8:8" x14ac:dyDescent="0.25">
      <c r="H898" s="34"/>
    </row>
    <row r="899" spans="8:8" x14ac:dyDescent="0.25">
      <c r="H899" s="34"/>
    </row>
    <row r="900" spans="8:8" x14ac:dyDescent="0.25">
      <c r="H900" s="34"/>
    </row>
    <row r="901" spans="8:8" x14ac:dyDescent="0.25">
      <c r="H901" s="34"/>
    </row>
    <row r="902" spans="8:8" x14ac:dyDescent="0.25">
      <c r="H902" s="34"/>
    </row>
    <row r="903" spans="8:8" x14ac:dyDescent="0.25">
      <c r="H903" s="34"/>
    </row>
    <row r="904" spans="8:8" x14ac:dyDescent="0.25">
      <c r="H904" s="34"/>
    </row>
    <row r="905" spans="8:8" x14ac:dyDescent="0.25">
      <c r="H905" s="34"/>
    </row>
    <row r="906" spans="8:8" x14ac:dyDescent="0.25">
      <c r="H906" s="34"/>
    </row>
    <row r="907" spans="8:8" x14ac:dyDescent="0.25">
      <c r="H907" s="34"/>
    </row>
    <row r="908" spans="8:8" x14ac:dyDescent="0.25">
      <c r="H908" s="34"/>
    </row>
    <row r="909" spans="8:8" x14ac:dyDescent="0.25">
      <c r="H909" s="34"/>
    </row>
    <row r="910" spans="8:8" x14ac:dyDescent="0.25">
      <c r="H910" s="34"/>
    </row>
    <row r="911" spans="8:8" x14ac:dyDescent="0.25">
      <c r="H911" s="34"/>
    </row>
    <row r="912" spans="8:8" x14ac:dyDescent="0.25">
      <c r="H912" s="34"/>
    </row>
    <row r="913" spans="8:8" x14ac:dyDescent="0.25">
      <c r="H913" s="34"/>
    </row>
    <row r="914" spans="8:8" x14ac:dyDescent="0.25">
      <c r="H914" s="34"/>
    </row>
    <row r="915" spans="8:8" x14ac:dyDescent="0.25">
      <c r="H915" s="34"/>
    </row>
    <row r="916" spans="8:8" x14ac:dyDescent="0.25">
      <c r="H916" s="34"/>
    </row>
    <row r="917" spans="8:8" x14ac:dyDescent="0.25">
      <c r="H917" s="34"/>
    </row>
    <row r="918" spans="8:8" x14ac:dyDescent="0.25">
      <c r="H918" s="34"/>
    </row>
    <row r="919" spans="8:8" x14ac:dyDescent="0.25">
      <c r="H919" s="34"/>
    </row>
    <row r="920" spans="8:8" x14ac:dyDescent="0.25">
      <c r="H920" s="34"/>
    </row>
    <row r="921" spans="8:8" x14ac:dyDescent="0.25">
      <c r="H921" s="34"/>
    </row>
    <row r="922" spans="8:8" x14ac:dyDescent="0.25">
      <c r="H922" s="34"/>
    </row>
    <row r="923" spans="8:8" x14ac:dyDescent="0.25">
      <c r="H923" s="34"/>
    </row>
    <row r="924" spans="8:8" x14ac:dyDescent="0.25">
      <c r="H924" s="34"/>
    </row>
    <row r="925" spans="8:8" x14ac:dyDescent="0.25">
      <c r="H925" s="34"/>
    </row>
    <row r="926" spans="8:8" x14ac:dyDescent="0.25">
      <c r="H926" s="34"/>
    </row>
    <row r="927" spans="8:8" x14ac:dyDescent="0.25">
      <c r="H927" s="34"/>
    </row>
    <row r="928" spans="8:8" x14ac:dyDescent="0.25">
      <c r="H928" s="34"/>
    </row>
    <row r="929" spans="8:8" x14ac:dyDescent="0.25">
      <c r="H929" s="34"/>
    </row>
    <row r="930" spans="8:8" x14ac:dyDescent="0.25">
      <c r="H930" s="34"/>
    </row>
    <row r="931" spans="8:8" x14ac:dyDescent="0.25">
      <c r="H931" s="34"/>
    </row>
    <row r="932" spans="8:8" x14ac:dyDescent="0.25">
      <c r="H932" s="34"/>
    </row>
    <row r="933" spans="8:8" x14ac:dyDescent="0.25">
      <c r="H933" s="34"/>
    </row>
    <row r="934" spans="8:8" x14ac:dyDescent="0.25">
      <c r="H934" s="34"/>
    </row>
    <row r="935" spans="8:8" x14ac:dyDescent="0.25">
      <c r="H935" s="34"/>
    </row>
    <row r="936" spans="8:8" x14ac:dyDescent="0.25">
      <c r="H936" s="34"/>
    </row>
    <row r="937" spans="8:8" x14ac:dyDescent="0.25">
      <c r="H937" s="34"/>
    </row>
    <row r="938" spans="8:8" x14ac:dyDescent="0.25">
      <c r="H938" s="34"/>
    </row>
    <row r="939" spans="8:8" x14ac:dyDescent="0.25">
      <c r="H939" s="34"/>
    </row>
    <row r="940" spans="8:8" x14ac:dyDescent="0.25">
      <c r="H940" s="34"/>
    </row>
    <row r="941" spans="8:8" x14ac:dyDescent="0.25">
      <c r="H941" s="34"/>
    </row>
    <row r="942" spans="8:8" x14ac:dyDescent="0.25">
      <c r="H942" s="34"/>
    </row>
    <row r="943" spans="8:8" x14ac:dyDescent="0.25">
      <c r="H943" s="34"/>
    </row>
    <row r="944" spans="8:8" x14ac:dyDescent="0.25">
      <c r="H944" s="34"/>
    </row>
    <row r="945" spans="8:8" x14ac:dyDescent="0.25">
      <c r="H945" s="34"/>
    </row>
    <row r="946" spans="8:8" x14ac:dyDescent="0.25">
      <c r="H946" s="34"/>
    </row>
    <row r="947" spans="8:8" x14ac:dyDescent="0.25">
      <c r="H947" s="34"/>
    </row>
    <row r="948" spans="8:8" x14ac:dyDescent="0.25">
      <c r="H948" s="34"/>
    </row>
    <row r="949" spans="8:8" x14ac:dyDescent="0.25">
      <c r="H949" s="34"/>
    </row>
    <row r="950" spans="8:8" x14ac:dyDescent="0.25">
      <c r="H950" s="34"/>
    </row>
    <row r="951" spans="8:8" x14ac:dyDescent="0.25">
      <c r="H951" s="34"/>
    </row>
    <row r="952" spans="8:8" x14ac:dyDescent="0.25">
      <c r="H952" s="34"/>
    </row>
    <row r="953" spans="8:8" x14ac:dyDescent="0.25">
      <c r="H953" s="34"/>
    </row>
    <row r="954" spans="8:8" x14ac:dyDescent="0.25">
      <c r="H954" s="34"/>
    </row>
    <row r="955" spans="8:8" x14ac:dyDescent="0.25">
      <c r="H955" s="34"/>
    </row>
    <row r="956" spans="8:8" x14ac:dyDescent="0.25">
      <c r="H956" s="34"/>
    </row>
    <row r="957" spans="8:8" x14ac:dyDescent="0.25">
      <c r="H957" s="34"/>
    </row>
    <row r="958" spans="8:8" x14ac:dyDescent="0.25">
      <c r="H958" s="34"/>
    </row>
    <row r="959" spans="8:8" x14ac:dyDescent="0.25">
      <c r="H959" s="34"/>
    </row>
    <row r="960" spans="8:8" x14ac:dyDescent="0.25">
      <c r="H960" s="34"/>
    </row>
    <row r="961" spans="8:8" x14ac:dyDescent="0.25">
      <c r="H961" s="34"/>
    </row>
    <row r="962" spans="8:8" x14ac:dyDescent="0.25">
      <c r="H962" s="34"/>
    </row>
    <row r="963" spans="8:8" x14ac:dyDescent="0.25">
      <c r="H963" s="34"/>
    </row>
    <row r="964" spans="8:8" x14ac:dyDescent="0.25">
      <c r="H964" s="34"/>
    </row>
    <row r="965" spans="8:8" x14ac:dyDescent="0.25">
      <c r="H965" s="34"/>
    </row>
    <row r="966" spans="8:8" x14ac:dyDescent="0.25">
      <c r="H966" s="34"/>
    </row>
    <row r="967" spans="8:8" x14ac:dyDescent="0.25">
      <c r="H967" s="34"/>
    </row>
    <row r="968" spans="8:8" x14ac:dyDescent="0.25">
      <c r="H968" s="34"/>
    </row>
    <row r="969" spans="8:8" x14ac:dyDescent="0.25">
      <c r="H969" s="34"/>
    </row>
    <row r="970" spans="8:8" x14ac:dyDescent="0.25">
      <c r="H970" s="34"/>
    </row>
    <row r="971" spans="8:8" x14ac:dyDescent="0.25">
      <c r="H971" s="34"/>
    </row>
    <row r="972" spans="8:8" x14ac:dyDescent="0.25">
      <c r="H972" s="34"/>
    </row>
    <row r="973" spans="8:8" x14ac:dyDescent="0.25">
      <c r="H973" s="34"/>
    </row>
    <row r="974" spans="8:8" x14ac:dyDescent="0.25">
      <c r="H974" s="34"/>
    </row>
    <row r="975" spans="8:8" x14ac:dyDescent="0.25">
      <c r="H975" s="34"/>
    </row>
    <row r="976" spans="8:8" x14ac:dyDescent="0.25">
      <c r="H976" s="34"/>
    </row>
    <row r="977" spans="8:8" x14ac:dyDescent="0.25">
      <c r="H977" s="34"/>
    </row>
    <row r="978" spans="8:8" x14ac:dyDescent="0.25">
      <c r="H978" s="34"/>
    </row>
    <row r="979" spans="8:8" x14ac:dyDescent="0.25">
      <c r="H979" s="34"/>
    </row>
    <row r="980" spans="8:8" x14ac:dyDescent="0.25">
      <c r="H980" s="34"/>
    </row>
    <row r="981" spans="8:8" x14ac:dyDescent="0.25">
      <c r="H981" s="34"/>
    </row>
    <row r="982" spans="8:8" x14ac:dyDescent="0.25">
      <c r="H982" s="34"/>
    </row>
    <row r="983" spans="8:8" x14ac:dyDescent="0.25">
      <c r="H983" s="34"/>
    </row>
    <row r="984" spans="8:8" x14ac:dyDescent="0.25">
      <c r="H984" s="34"/>
    </row>
    <row r="985" spans="8:8" x14ac:dyDescent="0.25">
      <c r="H985" s="34"/>
    </row>
    <row r="986" spans="8:8" x14ac:dyDescent="0.25">
      <c r="H986" s="34"/>
    </row>
    <row r="987" spans="8:8" x14ac:dyDescent="0.25">
      <c r="H987" s="34"/>
    </row>
    <row r="988" spans="8:8" x14ac:dyDescent="0.25">
      <c r="H988" s="34"/>
    </row>
    <row r="989" spans="8:8" x14ac:dyDescent="0.25">
      <c r="H989" s="34"/>
    </row>
    <row r="990" spans="8:8" x14ac:dyDescent="0.25">
      <c r="H990" s="34"/>
    </row>
    <row r="991" spans="8:8" x14ac:dyDescent="0.25">
      <c r="H991" s="34"/>
    </row>
    <row r="992" spans="8:8" x14ac:dyDescent="0.25">
      <c r="H992" s="34"/>
    </row>
    <row r="993" spans="8:8" x14ac:dyDescent="0.25">
      <c r="H993" s="34"/>
    </row>
    <row r="994" spans="8:8" x14ac:dyDescent="0.25">
      <c r="H994" s="34"/>
    </row>
    <row r="995" spans="8:8" x14ac:dyDescent="0.25">
      <c r="H995" s="34"/>
    </row>
    <row r="996" spans="8:8" x14ac:dyDescent="0.25">
      <c r="H996" s="34"/>
    </row>
    <row r="997" spans="8:8" x14ac:dyDescent="0.25">
      <c r="H997" s="34"/>
    </row>
    <row r="998" spans="8:8" x14ac:dyDescent="0.25">
      <c r="H998" s="34"/>
    </row>
    <row r="999" spans="8:8" x14ac:dyDescent="0.25">
      <c r="H999" s="34"/>
    </row>
    <row r="1000" spans="8:8" x14ac:dyDescent="0.25">
      <c r="H1000" s="34"/>
    </row>
  </sheetData>
  <mergeCells count="2">
    <mergeCell ref="A1:B1"/>
    <mergeCell ref="D5:F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31"/>
  <sheetViews>
    <sheetView workbookViewId="0"/>
  </sheetViews>
  <sheetFormatPr defaultColWidth="12.6640625" defaultRowHeight="15.75" customHeight="1" x14ac:dyDescent="0.25"/>
  <cols>
    <col min="1" max="1" width="18.21875" customWidth="1"/>
    <col min="2" max="2" width="18.88671875" customWidth="1"/>
  </cols>
  <sheetData>
    <row r="1" spans="1:7" x14ac:dyDescent="0.25">
      <c r="A1" s="43" t="s">
        <v>54</v>
      </c>
      <c r="B1" s="44"/>
    </row>
    <row r="2" spans="1:7" x14ac:dyDescent="0.25">
      <c r="A2" s="24"/>
      <c r="B2" s="24"/>
    </row>
    <row r="3" spans="1:7" x14ac:dyDescent="0.25">
      <c r="A3" s="45" t="s">
        <v>55</v>
      </c>
      <c r="B3" s="24"/>
    </row>
    <row r="4" spans="1:7" x14ac:dyDescent="0.25">
      <c r="A4" s="24" t="s">
        <v>56</v>
      </c>
      <c r="B4" s="46">
        <v>59</v>
      </c>
    </row>
    <row r="5" spans="1:7" x14ac:dyDescent="0.25">
      <c r="A5" s="24" t="s">
        <v>57</v>
      </c>
      <c r="B5" s="46">
        <v>0.247</v>
      </c>
    </row>
    <row r="6" spans="1:7" x14ac:dyDescent="0.25">
      <c r="A6" s="24" t="s">
        <v>58</v>
      </c>
      <c r="B6" s="46">
        <v>0.23400000000000001</v>
      </c>
    </row>
    <row r="7" spans="1:7" x14ac:dyDescent="0.25">
      <c r="A7" s="24" t="s">
        <v>59</v>
      </c>
      <c r="B7" s="46">
        <v>18.7</v>
      </c>
    </row>
    <row r="8" spans="1:7" x14ac:dyDescent="0.25">
      <c r="A8" s="24"/>
      <c r="B8" s="46"/>
    </row>
    <row r="10" spans="1:7" x14ac:dyDescent="0.25">
      <c r="A10" s="47"/>
      <c r="B10" s="48" t="s">
        <v>60</v>
      </c>
      <c r="C10" s="48" t="s">
        <v>61</v>
      </c>
      <c r="D10" s="48" t="s">
        <v>62</v>
      </c>
      <c r="E10" s="48" t="s">
        <v>63</v>
      </c>
      <c r="F10" s="48" t="s">
        <v>64</v>
      </c>
      <c r="G10" s="48" t="s">
        <v>65</v>
      </c>
    </row>
    <row r="11" spans="1:7" x14ac:dyDescent="0.25">
      <c r="A11" s="49" t="s">
        <v>66</v>
      </c>
      <c r="B11" s="50">
        <v>1.6199999999999999E-2</v>
      </c>
      <c r="C11" s="51">
        <v>8.0000000000000002E-3</v>
      </c>
      <c r="D11" s="51">
        <v>1.9279999999999999</v>
      </c>
      <c r="E11" s="51">
        <v>5.8999999999999997E-2</v>
      </c>
      <c r="F11" s="51">
        <v>-1E-3</v>
      </c>
      <c r="G11" s="51">
        <v>3.3000000000000002E-2</v>
      </c>
    </row>
    <row r="12" spans="1:7" x14ac:dyDescent="0.25">
      <c r="A12" s="49" t="s">
        <v>67</v>
      </c>
      <c r="B12" s="52">
        <v>0.85919999999999996</v>
      </c>
      <c r="C12" s="53">
        <v>0.19900000000000001</v>
      </c>
      <c r="D12" s="53">
        <v>4.3239999999999998</v>
      </c>
      <c r="E12" s="53">
        <v>0</v>
      </c>
      <c r="F12" s="53">
        <v>0.46100000000000002</v>
      </c>
      <c r="G12" s="53">
        <v>1.2569999999999999</v>
      </c>
    </row>
    <row r="14" spans="1:7" x14ac:dyDescent="0.25">
      <c r="A14" s="8" t="s">
        <v>68</v>
      </c>
      <c r="B14" s="54">
        <v>1.0636000000000001</v>
      </c>
    </row>
    <row r="15" spans="1:7" x14ac:dyDescent="0.25">
      <c r="A15" s="8" t="s">
        <v>69</v>
      </c>
      <c r="B15" s="55">
        <v>5.6300000000000003E-2</v>
      </c>
    </row>
    <row r="16" spans="1:7" x14ac:dyDescent="0.25">
      <c r="A16" s="8" t="s">
        <v>70</v>
      </c>
      <c r="B16" s="55">
        <v>0.1857</v>
      </c>
    </row>
    <row r="17" spans="1:2" x14ac:dyDescent="0.25">
      <c r="A17" s="8" t="s">
        <v>71</v>
      </c>
      <c r="B17" s="55">
        <f>B15+B14*(B16-B15)</f>
        <v>0.19392984000000002</v>
      </c>
    </row>
    <row r="18" spans="1:2" x14ac:dyDescent="0.25">
      <c r="A18" s="8" t="s">
        <v>43</v>
      </c>
      <c r="B18" s="55">
        <v>8.1299999999999997E-2</v>
      </c>
    </row>
    <row r="19" spans="1:2" x14ac:dyDescent="0.25">
      <c r="A19" s="8" t="s">
        <v>72</v>
      </c>
      <c r="B19" s="54">
        <v>1.7</v>
      </c>
    </row>
    <row r="20" spans="1:2" x14ac:dyDescent="0.25">
      <c r="A20" s="8" t="s">
        <v>73</v>
      </c>
      <c r="B20" s="54">
        <v>0.99</v>
      </c>
    </row>
    <row r="21" spans="1:2" x14ac:dyDescent="0.25">
      <c r="A21" s="8" t="s">
        <v>74</v>
      </c>
      <c r="B21" s="54">
        <v>0.46100000000000002</v>
      </c>
    </row>
    <row r="22" spans="1:2" x14ac:dyDescent="0.25">
      <c r="A22" s="8" t="s">
        <v>33</v>
      </c>
      <c r="B22" s="56">
        <v>0.25</v>
      </c>
    </row>
    <row r="23" spans="1:2" x14ac:dyDescent="0.25">
      <c r="A23" s="8" t="s">
        <v>75</v>
      </c>
      <c r="B23" s="54">
        <f>B20*B17+B21*(1-B22)*B18</f>
        <v>0.2201000166</v>
      </c>
    </row>
    <row r="24" spans="1:2" x14ac:dyDescent="0.25">
      <c r="A24" s="12"/>
      <c r="B24" s="57">
        <v>0.22009999999999999</v>
      </c>
    </row>
    <row r="29" spans="1:2" x14ac:dyDescent="0.25">
      <c r="A29" s="7" t="s">
        <v>76</v>
      </c>
      <c r="B29" s="58">
        <v>0.19389999999999999</v>
      </c>
    </row>
    <row r="30" spans="1:2" x14ac:dyDescent="0.25">
      <c r="A30" s="7" t="s">
        <v>77</v>
      </c>
      <c r="B30" s="58">
        <v>8.3000000000000004E-2</v>
      </c>
    </row>
    <row r="31" spans="1:2" x14ac:dyDescent="0.25">
      <c r="A31" s="7" t="s">
        <v>75</v>
      </c>
      <c r="B31" s="58">
        <v>0.22009999999999999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45"/>
  <sheetViews>
    <sheetView workbookViewId="0"/>
  </sheetViews>
  <sheetFormatPr defaultColWidth="12.6640625" defaultRowHeight="15.75" customHeight="1" x14ac:dyDescent="0.25"/>
  <cols>
    <col min="1" max="1" width="18.33203125" customWidth="1"/>
    <col min="5" max="5" width="21.77734375" customWidth="1"/>
    <col min="6" max="6" width="21.109375" customWidth="1"/>
    <col min="7" max="7" width="20.44140625" customWidth="1"/>
  </cols>
  <sheetData>
    <row r="1" spans="1:10" x14ac:dyDescent="0.25">
      <c r="A1" s="59" t="s">
        <v>78</v>
      </c>
      <c r="B1" s="24"/>
      <c r="C1" s="24"/>
      <c r="D1" s="24"/>
      <c r="E1" s="24"/>
      <c r="F1" s="24"/>
      <c r="G1" s="24"/>
    </row>
    <row r="2" spans="1:10" x14ac:dyDescent="0.25">
      <c r="A2" s="60"/>
      <c r="B2" s="24"/>
      <c r="C2" s="24"/>
      <c r="D2" s="24"/>
      <c r="E2" s="24"/>
      <c r="F2" s="24"/>
      <c r="G2" s="24"/>
    </row>
    <row r="3" spans="1:10" x14ac:dyDescent="0.25">
      <c r="A3" s="23" t="s">
        <v>79</v>
      </c>
      <c r="B3" s="23" t="s">
        <v>68</v>
      </c>
      <c r="C3" s="23" t="s">
        <v>32</v>
      </c>
      <c r="D3" s="23" t="s">
        <v>33</v>
      </c>
      <c r="E3" s="23" t="s">
        <v>34</v>
      </c>
      <c r="F3" s="24"/>
      <c r="G3" s="7" t="s">
        <v>80</v>
      </c>
      <c r="H3" s="7"/>
      <c r="I3" s="7"/>
      <c r="J3" s="7"/>
    </row>
    <row r="4" spans="1:10" x14ac:dyDescent="0.25">
      <c r="A4" s="21" t="s">
        <v>13</v>
      </c>
      <c r="B4" s="61">
        <v>1.0636000000000001</v>
      </c>
      <c r="C4" s="7">
        <v>1.7</v>
      </c>
      <c r="D4" s="46">
        <v>0.25</v>
      </c>
      <c r="E4" s="46">
        <f t="shared" ref="E4:E8" si="0">B4/(1+C4*(1-D4))</f>
        <v>0.46751648351648356</v>
      </c>
      <c r="F4" s="24"/>
      <c r="G4" s="24"/>
    </row>
    <row r="5" spans="1:10" x14ac:dyDescent="0.25">
      <c r="A5" s="21" t="s">
        <v>15</v>
      </c>
      <c r="B5" s="46">
        <v>0.84340000000000004</v>
      </c>
      <c r="C5" s="24">
        <v>0</v>
      </c>
      <c r="D5" s="46">
        <v>0.25</v>
      </c>
      <c r="E5" s="46">
        <f t="shared" si="0"/>
        <v>0.84340000000000004</v>
      </c>
      <c r="F5" s="24"/>
      <c r="G5" s="24"/>
    </row>
    <row r="6" spans="1:10" x14ac:dyDescent="0.25">
      <c r="A6" s="21" t="s">
        <v>17</v>
      </c>
      <c r="B6" s="46">
        <v>9.9400000000000002E-2</v>
      </c>
      <c r="C6" s="24">
        <v>0.44</v>
      </c>
      <c r="D6" s="46">
        <v>0.25</v>
      </c>
      <c r="E6" s="46">
        <f t="shared" si="0"/>
        <v>7.4736842105263157E-2</v>
      </c>
      <c r="F6" s="24"/>
      <c r="G6" s="24"/>
    </row>
    <row r="7" spans="1:10" x14ac:dyDescent="0.25">
      <c r="A7" s="21" t="s">
        <v>19</v>
      </c>
      <c r="B7" s="6">
        <v>0.44429999999999997</v>
      </c>
      <c r="C7" s="24">
        <v>0.01</v>
      </c>
      <c r="D7" s="46">
        <v>0.25</v>
      </c>
      <c r="E7" s="46">
        <f t="shared" si="0"/>
        <v>0.44099255583126545</v>
      </c>
      <c r="F7" s="24"/>
      <c r="G7" s="24"/>
    </row>
    <row r="8" spans="1:10" x14ac:dyDescent="0.25">
      <c r="A8" s="21" t="s">
        <v>21</v>
      </c>
      <c r="B8" s="6">
        <v>0.91879999999999995</v>
      </c>
      <c r="C8" s="24">
        <v>0.01</v>
      </c>
      <c r="D8" s="46">
        <v>0.25</v>
      </c>
      <c r="E8" s="46">
        <f t="shared" si="0"/>
        <v>0.91196029776674925</v>
      </c>
      <c r="F8" s="24"/>
      <c r="G8" s="24"/>
    </row>
    <row r="9" spans="1:10" x14ac:dyDescent="0.25">
      <c r="A9" s="7"/>
      <c r="B9" s="46"/>
      <c r="C9" s="46"/>
      <c r="D9" s="46"/>
      <c r="E9" s="46"/>
      <c r="F9" s="24"/>
      <c r="G9" s="24"/>
    </row>
    <row r="10" spans="1:10" x14ac:dyDescent="0.25">
      <c r="A10" s="7"/>
      <c r="B10" s="24"/>
      <c r="C10" s="24"/>
      <c r="D10" s="24"/>
      <c r="E10" s="23" t="s">
        <v>81</v>
      </c>
      <c r="F10" s="46">
        <f>AVERAGE(E5:E8)</f>
        <v>0.5677724239258195</v>
      </c>
      <c r="G10" s="24"/>
    </row>
    <row r="11" spans="1:10" x14ac:dyDescent="0.25">
      <c r="A11" s="24"/>
      <c r="B11" s="24"/>
      <c r="C11" s="24"/>
      <c r="D11" s="24"/>
      <c r="E11" s="24"/>
      <c r="F11" s="24"/>
      <c r="G11" s="24"/>
    </row>
    <row r="12" spans="1:10" x14ac:dyDescent="0.25">
      <c r="A12" s="24"/>
      <c r="B12" s="24"/>
      <c r="C12" s="24"/>
      <c r="D12" s="24"/>
      <c r="E12" s="23" t="s">
        <v>36</v>
      </c>
      <c r="F12" s="46">
        <v>1.0569999999999999</v>
      </c>
      <c r="G12" s="24"/>
    </row>
    <row r="13" spans="1:10" x14ac:dyDescent="0.25">
      <c r="A13" s="24"/>
      <c r="B13" s="24"/>
      <c r="C13" s="24"/>
      <c r="D13" s="24"/>
      <c r="E13" s="24"/>
      <c r="F13" s="24"/>
      <c r="G13" s="24"/>
    </row>
    <row r="14" spans="1:10" x14ac:dyDescent="0.25">
      <c r="A14" s="24"/>
      <c r="B14" s="24"/>
      <c r="C14" s="24"/>
      <c r="D14" s="24"/>
      <c r="E14" s="23" t="s">
        <v>37</v>
      </c>
      <c r="F14" s="46">
        <v>1.7</v>
      </c>
      <c r="G14" s="24"/>
    </row>
    <row r="15" spans="1:10" x14ac:dyDescent="0.25">
      <c r="A15" s="24"/>
      <c r="B15" s="24"/>
      <c r="C15" s="24"/>
      <c r="D15" s="24"/>
      <c r="E15" s="23" t="s">
        <v>38</v>
      </c>
      <c r="F15" s="46">
        <v>0.99</v>
      </c>
      <c r="G15" s="24"/>
    </row>
    <row r="16" spans="1:10" x14ac:dyDescent="0.25">
      <c r="A16" s="24"/>
      <c r="B16" s="24"/>
      <c r="C16" s="24"/>
      <c r="D16" s="24"/>
      <c r="E16" s="23" t="s">
        <v>39</v>
      </c>
      <c r="F16" s="46">
        <v>0.46100000000000002</v>
      </c>
      <c r="G16" s="24"/>
    </row>
    <row r="17" spans="1:7" x14ac:dyDescent="0.25">
      <c r="A17" s="24"/>
      <c r="B17" s="24"/>
      <c r="C17" s="24"/>
      <c r="D17" s="24"/>
      <c r="E17" s="24"/>
      <c r="F17" s="24"/>
      <c r="G17" s="24"/>
    </row>
    <row r="18" spans="1:7" x14ac:dyDescent="0.25">
      <c r="A18" s="24"/>
      <c r="B18" s="24"/>
      <c r="C18" s="24"/>
      <c r="D18" s="24"/>
      <c r="E18" s="23" t="s">
        <v>33</v>
      </c>
      <c r="F18" s="46">
        <v>0.25</v>
      </c>
      <c r="G18" s="24"/>
    </row>
    <row r="19" spans="1:7" x14ac:dyDescent="0.25">
      <c r="A19" s="24"/>
      <c r="B19" s="24"/>
      <c r="C19" s="24"/>
      <c r="D19" s="24"/>
      <c r="E19" s="23" t="s">
        <v>82</v>
      </c>
      <c r="F19" s="6">
        <f>F22+(F12*(G21-F21))</f>
        <v>17.753790000000002</v>
      </c>
      <c r="G19" s="7"/>
    </row>
    <row r="20" spans="1:7" x14ac:dyDescent="0.25">
      <c r="A20" s="24"/>
      <c r="B20" s="24"/>
      <c r="C20" s="24"/>
      <c r="D20" s="24"/>
      <c r="E20" s="7"/>
      <c r="F20" s="7" t="s">
        <v>83</v>
      </c>
      <c r="G20" s="7" t="s">
        <v>84</v>
      </c>
    </row>
    <row r="21" spans="1:7" x14ac:dyDescent="0.25">
      <c r="A21" s="24"/>
      <c r="B21" s="24"/>
      <c r="C21" s="24"/>
      <c r="D21" s="24"/>
      <c r="E21" s="24" t="s">
        <v>85</v>
      </c>
      <c r="F21" s="46">
        <v>5.63</v>
      </c>
      <c r="G21" s="46">
        <v>17.100000000000001</v>
      </c>
    </row>
    <row r="22" spans="1:7" x14ac:dyDescent="0.25">
      <c r="A22" s="24"/>
      <c r="B22" s="24"/>
      <c r="C22" s="24"/>
      <c r="D22" s="24"/>
      <c r="E22" s="24" t="s">
        <v>86</v>
      </c>
      <c r="F22" s="46">
        <v>5.63</v>
      </c>
      <c r="G22" s="46">
        <v>18.57</v>
      </c>
    </row>
    <row r="23" spans="1:7" x14ac:dyDescent="0.25">
      <c r="A23" s="24"/>
      <c r="B23" s="24"/>
      <c r="C23" s="24"/>
      <c r="D23" s="24"/>
      <c r="E23" s="24"/>
      <c r="F23" s="24"/>
      <c r="G23" s="24"/>
    </row>
    <row r="24" spans="1:7" x14ac:dyDescent="0.25">
      <c r="A24" s="24"/>
      <c r="B24" s="24"/>
      <c r="C24" s="24"/>
      <c r="D24" s="24"/>
      <c r="E24" s="23" t="s">
        <v>87</v>
      </c>
      <c r="F24" s="46">
        <v>8.3000000000000007</v>
      </c>
      <c r="G24" s="24"/>
    </row>
    <row r="25" spans="1:7" x14ac:dyDescent="0.25">
      <c r="A25" s="24"/>
      <c r="B25" s="24"/>
      <c r="C25" s="24"/>
      <c r="D25" s="24"/>
      <c r="E25" s="24"/>
      <c r="F25" s="24"/>
      <c r="G25" s="24"/>
    </row>
    <row r="26" spans="1:7" x14ac:dyDescent="0.25">
      <c r="A26" s="62"/>
      <c r="B26" s="24"/>
      <c r="C26" s="24"/>
      <c r="D26" s="24"/>
      <c r="E26" s="24"/>
      <c r="F26" s="24"/>
      <c r="G26" s="24"/>
    </row>
    <row r="27" spans="1:7" x14ac:dyDescent="0.25">
      <c r="A27" s="24"/>
      <c r="B27" s="24"/>
      <c r="C27" s="24"/>
      <c r="D27" s="24"/>
      <c r="E27" s="23" t="s">
        <v>75</v>
      </c>
      <c r="F27" s="46">
        <f>(F15*(F24/100)*(1-F18))+(F16*((F19)/100))</f>
        <v>0.14347247190000001</v>
      </c>
      <c r="G27" s="7"/>
    </row>
    <row r="28" spans="1:7" x14ac:dyDescent="0.25">
      <c r="A28" s="7"/>
      <c r="B28" s="7"/>
      <c r="C28" s="7"/>
      <c r="D28" s="7"/>
      <c r="E28" s="7"/>
      <c r="F28" s="63">
        <v>0.1434</v>
      </c>
      <c r="G28" s="24"/>
    </row>
    <row r="29" spans="1:7" x14ac:dyDescent="0.25">
      <c r="A29" s="7"/>
      <c r="B29" s="7"/>
      <c r="C29" s="24"/>
      <c r="D29" s="24"/>
      <c r="E29" s="24"/>
      <c r="F29" s="24"/>
      <c r="G29" s="24"/>
    </row>
    <row r="30" spans="1:7" x14ac:dyDescent="0.25">
      <c r="A30" s="7"/>
      <c r="B30" s="24"/>
      <c r="C30" s="24"/>
      <c r="D30" s="24"/>
      <c r="E30" s="24"/>
      <c r="F30" s="24"/>
      <c r="G30" s="24"/>
    </row>
    <row r="31" spans="1:7" x14ac:dyDescent="0.25">
      <c r="A31" s="7"/>
      <c r="B31" s="24"/>
      <c r="C31" s="24"/>
      <c r="D31" s="24"/>
      <c r="E31" s="24"/>
      <c r="F31" s="24"/>
      <c r="G31" s="24"/>
    </row>
    <row r="32" spans="1:7" x14ac:dyDescent="0.25">
      <c r="A32" s="7"/>
      <c r="B32" s="7"/>
      <c r="C32" s="24"/>
      <c r="D32" s="24"/>
      <c r="E32" s="24"/>
      <c r="F32" s="24"/>
      <c r="G32" s="24"/>
    </row>
    <row r="33" spans="1:7" x14ac:dyDescent="0.25">
      <c r="A33" s="7"/>
      <c r="B33" s="7"/>
      <c r="C33" s="24"/>
      <c r="D33" s="24"/>
      <c r="E33" s="24"/>
      <c r="F33" s="24"/>
      <c r="G33" s="24"/>
    </row>
    <row r="34" spans="1:7" x14ac:dyDescent="0.25">
      <c r="A34" s="23" t="s">
        <v>79</v>
      </c>
      <c r="B34" s="23" t="s">
        <v>68</v>
      </c>
      <c r="C34" s="23" t="s">
        <v>34</v>
      </c>
      <c r="D34" s="24"/>
      <c r="E34" s="24"/>
      <c r="F34" s="24"/>
      <c r="G34" s="24"/>
    </row>
    <row r="35" spans="1:7" x14ac:dyDescent="0.25">
      <c r="A35" s="21" t="s">
        <v>13</v>
      </c>
      <c r="B35" s="61">
        <v>1.0636000000000001</v>
      </c>
      <c r="C35" s="46">
        <v>0.46751648351648356</v>
      </c>
      <c r="D35" s="24"/>
      <c r="E35" s="24"/>
      <c r="F35" s="24"/>
      <c r="G35" s="24"/>
    </row>
    <row r="36" spans="1:7" x14ac:dyDescent="0.25">
      <c r="A36" s="21" t="s">
        <v>15</v>
      </c>
      <c r="B36" s="46">
        <v>0.84340000000000004</v>
      </c>
      <c r="C36" s="46">
        <v>0.84340000000000004</v>
      </c>
      <c r="D36" s="24"/>
      <c r="E36" s="24"/>
      <c r="F36" s="24"/>
      <c r="G36" s="24"/>
    </row>
    <row r="37" spans="1:7" x14ac:dyDescent="0.25">
      <c r="A37" s="21" t="s">
        <v>17</v>
      </c>
      <c r="B37" s="46">
        <v>9.9400000000000002E-2</v>
      </c>
      <c r="C37" s="46">
        <v>7.4736842105263157E-2</v>
      </c>
      <c r="D37" s="24"/>
      <c r="E37" s="24"/>
      <c r="F37" s="24"/>
      <c r="G37" s="24"/>
    </row>
    <row r="38" spans="1:7" x14ac:dyDescent="0.25">
      <c r="A38" s="21" t="s">
        <v>19</v>
      </c>
      <c r="B38" s="6">
        <v>0.44429999999999997</v>
      </c>
      <c r="C38" s="46">
        <v>0.44099255583126545</v>
      </c>
      <c r="D38" s="24"/>
      <c r="E38" s="24"/>
      <c r="F38" s="24"/>
      <c r="G38" s="24"/>
    </row>
    <row r="39" spans="1:7" x14ac:dyDescent="0.25">
      <c r="A39" s="21" t="s">
        <v>21</v>
      </c>
      <c r="B39" s="6">
        <v>0.91879999999999995</v>
      </c>
      <c r="C39" s="46">
        <v>0.91196029776674925</v>
      </c>
      <c r="D39" s="24"/>
      <c r="E39" s="24"/>
      <c r="F39" s="24"/>
      <c r="G39" s="24"/>
    </row>
    <row r="40" spans="1:7" x14ac:dyDescent="0.25">
      <c r="A40" s="7"/>
      <c r="B40" s="46"/>
      <c r="C40" s="46"/>
      <c r="D40" s="24"/>
      <c r="E40" s="24"/>
      <c r="F40" s="24"/>
      <c r="G40" s="24"/>
    </row>
    <row r="43" spans="1:7" x14ac:dyDescent="0.25">
      <c r="A43" s="24" t="s">
        <v>76</v>
      </c>
      <c r="B43" s="64">
        <v>0.177537</v>
      </c>
    </row>
    <row r="44" spans="1:7" x14ac:dyDescent="0.25">
      <c r="A44" s="24" t="s">
        <v>75</v>
      </c>
      <c r="B44" s="64">
        <v>0.1434</v>
      </c>
    </row>
    <row r="45" spans="1:7" x14ac:dyDescent="0.25">
      <c r="A45" s="24" t="s">
        <v>77</v>
      </c>
      <c r="B45" s="64">
        <v>8.3000000000000004E-2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INTRO</vt:lpstr>
      <vt:lpstr>DATA</vt:lpstr>
      <vt:lpstr>YTM</vt:lpstr>
      <vt:lpstr>NSE GRASIM</vt:lpstr>
      <vt:lpstr>NSE ITC</vt:lpstr>
      <vt:lpstr>NSE SRF</vt:lpstr>
      <vt:lpstr>NSE LINDE INDIA</vt:lpstr>
      <vt:lpstr>NSE 3M INDIA</vt:lpstr>
      <vt:lpstr>COST OF DEBT</vt:lpstr>
      <vt:lpstr>WACC Using Top Down Approach</vt:lpstr>
      <vt:lpstr>WACC Using Bottom Up Approach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 Goyal</cp:lastModifiedBy>
  <dcterms:modified xsi:type="dcterms:W3CDTF">2025-04-15T13:49:34Z</dcterms:modified>
</cp:coreProperties>
</file>